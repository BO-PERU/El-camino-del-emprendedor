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riocamino/Library/CloudStorage/GoogleDrive-mariocaminoprado@gmail.com/Mi unidad/BO PERU/Talleres y papers/Activos/"/>
    </mc:Choice>
  </mc:AlternateContent>
  <xr:revisionPtr revIDLastSave="0" documentId="13_ncr:1_{D825AA84-F793-AD44-86F0-191324830192}" xr6:coauthVersionLast="47" xr6:coauthVersionMax="47" xr10:uidLastSave="{00000000-0000-0000-0000-000000000000}"/>
  <bookViews>
    <workbookView xWindow="0" yWindow="0" windowWidth="28800" windowHeight="18000" firstSheet="4" activeTab="13" xr2:uid="{00000000-000D-0000-FFFF-FFFF00000000}"/>
  </bookViews>
  <sheets>
    <sheet name="Indice de fragilidad" sheetId="1" r:id="rId1"/>
    <sheet name="Inventario del Portafolio" sheetId="2" r:id="rId2"/>
    <sheet name="Índice PAN" sheetId="4" r:id="rId3"/>
    <sheet name="Índice TORTA" sheetId="5" r:id="rId4"/>
    <sheet name="Mapa estratégico" sheetId="6" r:id="rId5"/>
    <sheet name="Economía del producto" sheetId="3" r:id="rId6"/>
    <sheet name="Canvas Producto PAN" sheetId="7" r:id="rId7"/>
    <sheet name="Escalera PAN-TORTA" sheetId="8" r:id="rId8"/>
    <sheet name="Capacidad del Horno" sheetId="9" r:id="rId9"/>
    <sheet name="Dieta del Portafolio" sheetId="10" r:id="rId10"/>
    <sheet name="Plan 30D" sheetId="11" r:id="rId11"/>
    <sheet name="Dashboard Ejecutivo" sheetId="12" r:id="rId12"/>
    <sheet name="Guía 4H" sheetId="13" state="hidden" r:id="rId13"/>
    <sheet name="Journey Cliente" sheetId="14" r:id="rId14"/>
  </sheets>
  <definedNames>
    <definedName name="_xlnm.Print_Area" localSheetId="6">'Canvas Producto PAN'!$A$1:$L$31</definedName>
    <definedName name="_xlnm.Print_Area" localSheetId="8">'Capacidad del Horno'!$A$1:$N$15</definedName>
    <definedName name="_xlnm.Print_Area" localSheetId="9">'Dieta del Portafolio'!$A$1:$L$15</definedName>
    <definedName name="_xlnm.Print_Area" localSheetId="7">'Escalera PAN-TORTA'!$A$1:$J$16</definedName>
    <definedName name="_xlnm.Print_Area" localSheetId="0">'Indice de fragilidad'!$A$1:$I$18</definedName>
    <definedName name="_xlnm.Print_Area" localSheetId="2">'Índice PAN'!$A$1:$J$22</definedName>
    <definedName name="_xlnm.Print_Area" localSheetId="1">'Inventario del Portafolio'!$A$1:$M$16</definedName>
    <definedName name="_xlnm.Print_Area" localSheetId="4">'Mapa estratégico'!$A$1:$W$21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2" l="1"/>
  <c r="P19" i="12"/>
  <c r="Q19" i="12" s="1"/>
  <c r="P18" i="12"/>
  <c r="Q18" i="12" s="1"/>
  <c r="P17" i="12"/>
  <c r="Q17" i="12" s="1"/>
  <c r="P16" i="12"/>
  <c r="Q16" i="12" s="1"/>
  <c r="P15" i="12"/>
  <c r="Q15" i="12" s="1"/>
  <c r="P14" i="12"/>
  <c r="Q14" i="12" s="1"/>
  <c r="P13" i="12"/>
  <c r="Q13" i="12" s="1"/>
  <c r="P12" i="12"/>
  <c r="Q12" i="12" s="1"/>
  <c r="P11" i="12"/>
  <c r="Q11" i="12" s="1"/>
  <c r="P10" i="12"/>
  <c r="Q10" i="12" s="1"/>
  <c r="J3" i="11"/>
  <c r="M14" i="12" s="1"/>
  <c r="H3" i="11"/>
  <c r="D3" i="11"/>
  <c r="J14" i="12" s="1"/>
  <c r="B15" i="10"/>
  <c r="B14" i="10"/>
  <c r="B13" i="10"/>
  <c r="B12" i="10"/>
  <c r="B11" i="10"/>
  <c r="B10" i="10"/>
  <c r="B9" i="10"/>
  <c r="B8" i="10"/>
  <c r="B7" i="10"/>
  <c r="B6" i="10"/>
  <c r="J4" i="10"/>
  <c r="B15" i="9"/>
  <c r="B14" i="9"/>
  <c r="B13" i="9"/>
  <c r="N12" i="9"/>
  <c r="L12" i="9"/>
  <c r="M12" i="9" s="1"/>
  <c r="K12" i="9"/>
  <c r="B12" i="9"/>
  <c r="N11" i="9"/>
  <c r="L11" i="9"/>
  <c r="M11" i="9" s="1"/>
  <c r="K11" i="9"/>
  <c r="B11" i="9"/>
  <c r="N10" i="9"/>
  <c r="L10" i="9"/>
  <c r="M10" i="9" s="1"/>
  <c r="K10" i="9"/>
  <c r="B10" i="9"/>
  <c r="N9" i="9"/>
  <c r="L9" i="9"/>
  <c r="M9" i="9" s="1"/>
  <c r="K9" i="9"/>
  <c r="B9" i="9"/>
  <c r="N8" i="9"/>
  <c r="L8" i="9"/>
  <c r="M8" i="9" s="1"/>
  <c r="K8" i="9"/>
  <c r="B8" i="9"/>
  <c r="N7" i="9"/>
  <c r="L7" i="9"/>
  <c r="M7" i="9" s="1"/>
  <c r="K7" i="9"/>
  <c r="B7" i="9"/>
  <c r="K6" i="9"/>
  <c r="B6" i="9"/>
  <c r="F7" i="8"/>
  <c r="G6" i="8"/>
  <c r="I31" i="7"/>
  <c r="U14" i="6"/>
  <c r="V14" i="6" s="1"/>
  <c r="B14" i="6"/>
  <c r="U13" i="6"/>
  <c r="V13" i="6" s="1"/>
  <c r="B13" i="6"/>
  <c r="U12" i="6"/>
  <c r="V12" i="6" s="1"/>
  <c r="B12" i="6"/>
  <c r="U11" i="6"/>
  <c r="V11" i="6" s="1"/>
  <c r="B11" i="6"/>
  <c r="U10" i="6"/>
  <c r="V10" i="6" s="1"/>
  <c r="B10" i="6"/>
  <c r="U9" i="6"/>
  <c r="V9" i="6" s="1"/>
  <c r="B9" i="6"/>
  <c r="U8" i="6"/>
  <c r="V8" i="6" s="1"/>
  <c r="B8" i="6"/>
  <c r="U7" i="6"/>
  <c r="V7" i="6" s="1"/>
  <c r="B7" i="6"/>
  <c r="U6" i="6"/>
  <c r="V6" i="6" s="1"/>
  <c r="B6" i="6"/>
  <c r="U5" i="6"/>
  <c r="V5" i="6" s="1"/>
  <c r="B5" i="6"/>
  <c r="H14" i="5"/>
  <c r="B14" i="5"/>
  <c r="I14" i="5" s="1"/>
  <c r="J14" i="5" s="1"/>
  <c r="H13" i="5"/>
  <c r="B13" i="5"/>
  <c r="I13" i="5" s="1"/>
  <c r="J13" i="5" s="1"/>
  <c r="H12" i="5"/>
  <c r="B12" i="5"/>
  <c r="I12" i="5" s="1"/>
  <c r="J12" i="5" s="1"/>
  <c r="H11" i="5"/>
  <c r="B11" i="5"/>
  <c r="I11" i="5" s="1"/>
  <c r="J11" i="5" s="1"/>
  <c r="H10" i="5"/>
  <c r="B10" i="5"/>
  <c r="I10" i="5" s="1"/>
  <c r="J10" i="5" s="1"/>
  <c r="H9" i="5"/>
  <c r="B9" i="5"/>
  <c r="I9" i="5" s="1"/>
  <c r="J9" i="5" s="1"/>
  <c r="H8" i="5"/>
  <c r="B8" i="5"/>
  <c r="I8" i="5" s="1"/>
  <c r="J8" i="5" s="1"/>
  <c r="H7" i="5"/>
  <c r="B7" i="5"/>
  <c r="I7" i="5" s="1"/>
  <c r="H6" i="5"/>
  <c r="B6" i="5"/>
  <c r="I6" i="5" s="1"/>
  <c r="J6" i="5" s="1"/>
  <c r="H5" i="5"/>
  <c r="B5" i="5"/>
  <c r="I5" i="5" s="1"/>
  <c r="J5" i="5" s="1"/>
  <c r="H14" i="4"/>
  <c r="B14" i="4"/>
  <c r="I14" i="4" s="1"/>
  <c r="J14" i="4" s="1"/>
  <c r="H13" i="4"/>
  <c r="B13" i="4"/>
  <c r="I13" i="4" s="1"/>
  <c r="J13" i="4" s="1"/>
  <c r="H12" i="4"/>
  <c r="B12" i="4"/>
  <c r="I12" i="4" s="1"/>
  <c r="J12" i="4" s="1"/>
  <c r="H11" i="4"/>
  <c r="B11" i="4"/>
  <c r="I11" i="4" s="1"/>
  <c r="J11" i="4" s="1"/>
  <c r="H10" i="4"/>
  <c r="B10" i="4"/>
  <c r="I10" i="4" s="1"/>
  <c r="J10" i="4" s="1"/>
  <c r="H9" i="4"/>
  <c r="B9" i="4"/>
  <c r="I9" i="4" s="1"/>
  <c r="J9" i="4" s="1"/>
  <c r="H8" i="4"/>
  <c r="B8" i="4"/>
  <c r="I8" i="4" s="1"/>
  <c r="J8" i="4" s="1"/>
  <c r="H7" i="4"/>
  <c r="B7" i="4"/>
  <c r="I7" i="4" s="1"/>
  <c r="H6" i="4"/>
  <c r="B6" i="4"/>
  <c r="I6" i="4" s="1"/>
  <c r="J6" i="4" s="1"/>
  <c r="H5" i="4"/>
  <c r="B5" i="4"/>
  <c r="I5" i="4" s="1"/>
  <c r="J5" i="4" s="1"/>
  <c r="D25" i="3"/>
  <c r="D26" i="3" s="1"/>
  <c r="C25" i="3"/>
  <c r="C26" i="3" s="1"/>
  <c r="B25" i="3"/>
  <c r="B26" i="3" s="1"/>
  <c r="D11" i="3"/>
  <c r="C11" i="3"/>
  <c r="B11" i="3"/>
  <c r="D7" i="3"/>
  <c r="C7" i="3"/>
  <c r="B7" i="3"/>
  <c r="D6" i="3"/>
  <c r="D8" i="3" s="1"/>
  <c r="C6" i="3"/>
  <c r="C8" i="3" s="1"/>
  <c r="B6" i="3"/>
  <c r="H15" i="2"/>
  <c r="E15" i="2"/>
  <c r="J15" i="2" s="1"/>
  <c r="H14" i="2"/>
  <c r="E14" i="2"/>
  <c r="H13" i="2"/>
  <c r="J4" i="2" s="1"/>
  <c r="E13" i="2"/>
  <c r="H12" i="2"/>
  <c r="E12" i="9" s="1"/>
  <c r="E12" i="2"/>
  <c r="H11" i="2"/>
  <c r="E11" i="2"/>
  <c r="H10" i="2"/>
  <c r="E10" i="2"/>
  <c r="H9" i="2"/>
  <c r="E9" i="2"/>
  <c r="H8" i="2"/>
  <c r="E8" i="2"/>
  <c r="H7" i="2"/>
  <c r="E7" i="2"/>
  <c r="H6" i="2"/>
  <c r="E6" i="2"/>
  <c r="G4" i="2"/>
  <c r="D13" i="1"/>
  <c r="C13" i="1"/>
  <c r="C4" i="12" s="1"/>
  <c r="G7" i="6" l="1"/>
  <c r="D4" i="9"/>
  <c r="A14" i="12" s="1"/>
  <c r="H16" i="2"/>
  <c r="K4" i="12" s="1"/>
  <c r="E7" i="6"/>
  <c r="B8" i="3"/>
  <c r="J14" i="2"/>
  <c r="J13" i="2"/>
  <c r="J11" i="2"/>
  <c r="J10" i="2"/>
  <c r="J9" i="2"/>
  <c r="J8" i="2"/>
  <c r="F12" i="9"/>
  <c r="D12" i="9"/>
  <c r="C12" i="9"/>
  <c r="C14" i="1"/>
  <c r="A4" i="12"/>
  <c r="C15" i="10"/>
  <c r="F15" i="10" s="1"/>
  <c r="D15" i="10"/>
  <c r="E15" i="10"/>
  <c r="E14" i="10"/>
  <c r="D14" i="10"/>
  <c r="C14" i="10"/>
  <c r="F14" i="10" s="1"/>
  <c r="E13" i="10"/>
  <c r="D13" i="10"/>
  <c r="E12" i="10"/>
  <c r="D12" i="10"/>
  <c r="D11" i="10"/>
  <c r="E11" i="10"/>
  <c r="E10" i="10"/>
  <c r="D10" i="10"/>
  <c r="E9" i="10"/>
  <c r="D9" i="10"/>
  <c r="D8" i="10"/>
  <c r="E8" i="10"/>
  <c r="D7" i="10"/>
  <c r="E7" i="10"/>
  <c r="D6" i="10"/>
  <c r="E6" i="10"/>
  <c r="E15" i="9"/>
  <c r="D15" i="9"/>
  <c r="C15" i="9"/>
  <c r="F15" i="9"/>
  <c r="F14" i="9"/>
  <c r="E14" i="9"/>
  <c r="D14" i="9"/>
  <c r="C14" i="9"/>
  <c r="E13" i="9"/>
  <c r="C13" i="9"/>
  <c r="D13" i="9"/>
  <c r="F13" i="9"/>
  <c r="F11" i="9"/>
  <c r="E11" i="9"/>
  <c r="D11" i="9"/>
  <c r="C11" i="9"/>
  <c r="F10" i="9"/>
  <c r="E10" i="9"/>
  <c r="D10" i="9"/>
  <c r="C10" i="9"/>
  <c r="E9" i="9"/>
  <c r="F9" i="9"/>
  <c r="D9" i="9"/>
  <c r="C9" i="9"/>
  <c r="F8" i="9"/>
  <c r="E8" i="9"/>
  <c r="D8" i="9"/>
  <c r="C8" i="9"/>
  <c r="F7" i="9"/>
  <c r="E7" i="9"/>
  <c r="D7" i="9"/>
  <c r="C7" i="9"/>
  <c r="F6" i="9"/>
  <c r="L6" i="9" s="1"/>
  <c r="M6" i="9" s="1"/>
  <c r="N6" i="9" s="1"/>
  <c r="J4" i="9" s="1"/>
  <c r="G14" i="12" s="1"/>
  <c r="E6" i="9"/>
  <c r="D6" i="9"/>
  <c r="C6" i="9"/>
  <c r="F8" i="8"/>
  <c r="G7" i="8"/>
  <c r="H14" i="6"/>
  <c r="F14" i="6"/>
  <c r="C14" i="6"/>
  <c r="D14" i="6"/>
  <c r="G14" i="6"/>
  <c r="I14" i="6"/>
  <c r="K14" i="6"/>
  <c r="C13" i="6"/>
  <c r="F13" i="6"/>
  <c r="H13" i="6"/>
  <c r="I13" i="6"/>
  <c r="K13" i="6"/>
  <c r="G13" i="6"/>
  <c r="D13" i="6"/>
  <c r="G12" i="6"/>
  <c r="E12" i="6"/>
  <c r="I12" i="6" s="1"/>
  <c r="D12" i="6"/>
  <c r="C12" i="6"/>
  <c r="F12" i="6"/>
  <c r="H12" i="6"/>
  <c r="E11" i="6"/>
  <c r="C11" i="6"/>
  <c r="H11" i="6"/>
  <c r="G11" i="6"/>
  <c r="I11" i="6" s="1"/>
  <c r="F11" i="6"/>
  <c r="H10" i="6"/>
  <c r="G10" i="6"/>
  <c r="F10" i="6"/>
  <c r="E10" i="6"/>
  <c r="I10" i="6" s="1"/>
  <c r="D10" i="6"/>
  <c r="C10" i="6"/>
  <c r="D9" i="6"/>
  <c r="C9" i="6"/>
  <c r="H9" i="6"/>
  <c r="G9" i="6"/>
  <c r="F9" i="6"/>
  <c r="E9" i="6"/>
  <c r="I9" i="6" s="1"/>
  <c r="E8" i="6"/>
  <c r="D8" i="6"/>
  <c r="C8" i="6"/>
  <c r="H8" i="6"/>
  <c r="G8" i="6"/>
  <c r="I8" i="6" s="1"/>
  <c r="F8" i="6"/>
  <c r="C7" i="6"/>
  <c r="D7" i="6"/>
  <c r="E6" i="6"/>
  <c r="C6" i="6"/>
  <c r="H6" i="6"/>
  <c r="G6" i="6"/>
  <c r="I6" i="6" s="1"/>
  <c r="F6" i="6"/>
  <c r="G5" i="6"/>
  <c r="H5" i="6"/>
  <c r="F5" i="6"/>
  <c r="E5" i="6"/>
  <c r="I5" i="6" s="1"/>
  <c r="C5" i="6"/>
  <c r="J7" i="5"/>
  <c r="H7" i="6"/>
  <c r="J7" i="4"/>
  <c r="F7" i="6"/>
  <c r="D10" i="3"/>
  <c r="D12" i="3"/>
  <c r="D14" i="3" s="1"/>
  <c r="C10" i="3"/>
  <c r="C12" i="3"/>
  <c r="C14" i="3" s="1"/>
  <c r="B10" i="3"/>
  <c r="B12" i="3"/>
  <c r="B14" i="3" s="1"/>
  <c r="J7" i="2"/>
  <c r="D6" i="6" s="1"/>
  <c r="A4" i="2"/>
  <c r="J6" i="2"/>
  <c r="D5" i="6" s="1"/>
  <c r="J12" i="2"/>
  <c r="D11" i="6" s="1"/>
  <c r="E16" i="2"/>
  <c r="I7" i="6"/>
  <c r="C8" i="10" s="1"/>
  <c r="F8" i="10" s="1"/>
  <c r="C12" i="10" l="1"/>
  <c r="F12" i="10" s="1"/>
  <c r="B16" i="3"/>
  <c r="A4" i="9"/>
  <c r="G4" i="9"/>
  <c r="D14" i="12" s="1"/>
  <c r="G8" i="8"/>
  <c r="F9" i="8"/>
  <c r="J14" i="6"/>
  <c r="N14" i="6" s="1"/>
  <c r="O14" i="6" s="1"/>
  <c r="J13" i="6"/>
  <c r="N13" i="6" s="1"/>
  <c r="O13" i="6" s="1"/>
  <c r="J12" i="6"/>
  <c r="J11" i="6"/>
  <c r="K11" i="6"/>
  <c r="J10" i="6"/>
  <c r="J9" i="6"/>
  <c r="J8" i="6"/>
  <c r="J6" i="6"/>
  <c r="J5" i="6"/>
  <c r="I17" i="6"/>
  <c r="I18" i="6"/>
  <c r="I19" i="6"/>
  <c r="I20" i="6"/>
  <c r="Q3" i="12"/>
  <c r="Q4" i="12"/>
  <c r="Q5" i="12"/>
  <c r="Q6" i="12"/>
  <c r="A9" i="12"/>
  <c r="D9" i="12"/>
  <c r="G9" i="12"/>
  <c r="J9" i="12"/>
  <c r="M9" i="12"/>
  <c r="D19" i="12"/>
  <c r="K19" i="12"/>
  <c r="H4" i="12"/>
  <c r="J16" i="2"/>
  <c r="D4" i="2"/>
  <c r="E4" i="12"/>
  <c r="A4" i="10"/>
  <c r="K7" i="6"/>
  <c r="J7" i="6"/>
  <c r="D16" i="3"/>
  <c r="C16" i="3"/>
  <c r="K12" i="6"/>
  <c r="C13" i="10"/>
  <c r="F13" i="10" s="1"/>
  <c r="C11" i="10"/>
  <c r="F11" i="10" s="1"/>
  <c r="K10" i="6"/>
  <c r="C10" i="10"/>
  <c r="F10" i="10" s="1"/>
  <c r="K9" i="6"/>
  <c r="K8" i="6"/>
  <c r="C9" i="10"/>
  <c r="F9" i="10" s="1"/>
  <c r="C7" i="10"/>
  <c r="F7" i="10" s="1"/>
  <c r="K6" i="6"/>
  <c r="K5" i="6"/>
  <c r="C6" i="10"/>
  <c r="N12" i="6" l="1"/>
  <c r="O12" i="6" s="1"/>
  <c r="N11" i="6"/>
  <c r="O11" i="6" s="1"/>
  <c r="N9" i="6"/>
  <c r="O9" i="6" s="1"/>
  <c r="N8" i="6"/>
  <c r="O8" i="6" s="1"/>
  <c r="N7" i="6"/>
  <c r="O7" i="6" s="1"/>
  <c r="N6" i="6"/>
  <c r="O6" i="6" s="1"/>
  <c r="B18" i="3"/>
  <c r="B17" i="3"/>
  <c r="G9" i="8"/>
  <c r="F10" i="8"/>
  <c r="G3" i="8"/>
  <c r="D17" i="3"/>
  <c r="D18" i="3"/>
  <c r="C17" i="3"/>
  <c r="C18" i="3"/>
  <c r="G4" i="10"/>
  <c r="D4" i="10"/>
  <c r="F6" i="10"/>
  <c r="G10" i="8" l="1"/>
  <c r="F11" i="8"/>
  <c r="G11" i="8" s="1"/>
  <c r="J3" i="8" l="1"/>
  <c r="N10" i="6"/>
  <c r="O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tc={41E6FDF1-C182-C34A-8B25-1A07553207E2}</author>
  </authors>
  <commentList>
    <comment ref="D3" authorId="0" shapeId="0" xr:uid="{00000000-0006-0000-00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INGRESAR : La puntuación de acuerdo a los criterios descritos lineas abajo</t>
      </text>
    </comment>
  </commentList>
</comments>
</file>

<file path=xl/sharedStrings.xml><?xml version="1.0" encoding="utf-8"?>
<sst xmlns="http://schemas.openxmlformats.org/spreadsheetml/2006/main" count="580" uniqueCount="503">
  <si>
    <t>ÍNDICE DE FRAGILIDAD COMERCIAL</t>
  </si>
  <si>
    <t>Evalúa qué tan vulnerable es el flujo comercial actual. Puntúa cada dimensión de 1 a 5.</t>
  </si>
  <si>
    <t>HERRAMIENTA 1</t>
  </si>
  <si>
    <t>DIMENSIÓN</t>
  </si>
  <si>
    <t>PREGUNTA</t>
  </si>
  <si>
    <t>PUNTUACIÓN</t>
  </si>
  <si>
    <t>Frecuencia</t>
  </si>
  <si>
    <t>¿Qué tan irregular es la entrada de clientes nuevos?</t>
  </si>
  <si>
    <t>Entradas constantes durante el mes</t>
  </si>
  <si>
    <t>Flujo relativamente estable</t>
  </si>
  <si>
    <t>Hay semanas fuertes y semanas vacías</t>
  </si>
  <si>
    <t>Las ventas llegan de manera muy irregular</t>
  </si>
  <si>
    <t>Dependo de cierres aislados</t>
  </si>
  <si>
    <t>Concentración</t>
  </si>
  <si>
    <t>¿Qué tanto dependes de pocos clientes o ventas grandes?</t>
  </si>
  <si>
    <t>Ningún cliente representa una parte crítica</t>
  </si>
  <si>
    <t>Hay cierta concentración, pero es manejable</t>
  </si>
  <si>
    <t>Algunos clientes pesan demasiado</t>
  </si>
  <si>
    <t>Pocos clientes explican gran parte de la facturación</t>
  </si>
  <si>
    <t>Perder uno o dos clientes compromete el negocio</t>
  </si>
  <si>
    <t>Predictibilidad</t>
  </si>
  <si>
    <t>¿Qué tan difícil es anticipar cuánto facturarás el próximo mes?</t>
  </si>
  <si>
    <t>Puedo estimar razonablemente la facturación</t>
  </si>
  <si>
    <t>Tengo cierta visibilidad</t>
  </si>
  <si>
    <t>La previsión es imprecisa</t>
  </si>
  <si>
    <t>Cada mes empieza casi desde cero</t>
  </si>
  <si>
    <t>No tengo idea de cuánto facturaré</t>
  </si>
  <si>
    <t>Riesgo de entrada</t>
  </si>
  <si>
    <t>¿Qué tan difícil es para un cliente nuevo probar tu oferta?</t>
  </si>
  <si>
    <t>Es fácil y poco riesgoso probar la oferta</t>
  </si>
  <si>
    <t>El cliente puede entrar con una decisión pequeña</t>
  </si>
  <si>
    <t>Requiere cierta confianza previa</t>
  </si>
  <si>
    <t>Supone una inversión o compromiso significativo</t>
  </si>
  <si>
    <t>El cliente debe apostar fuerte sin habernos probado</t>
  </si>
  <si>
    <t>Complejidad comercial</t>
  </si>
  <si>
    <t>¿Cuánto tienes que explicar para que alguien entienda por qué debe comprarte?</t>
  </si>
  <si>
    <t>Se entiende en segundos</t>
  </si>
  <si>
    <t>Requiere una explicación breve</t>
  </si>
  <si>
    <t>Necesita conversación comercial</t>
  </si>
  <si>
    <t>Requiere reuniones, propuestas y seguimiento</t>
  </si>
  <si>
    <t>Necesita un discurso largo para justificar su valor</t>
  </si>
  <si>
    <t>Recurrencia</t>
  </si>
  <si>
    <t>¿Qué tan poca recompra o continuidad existe?</t>
  </si>
  <si>
    <t>La mayoría recompra o continúa</t>
  </si>
  <si>
    <t>Existe recurrencia razonable</t>
  </si>
  <si>
    <t>Hay recompra, pero no está diseñada</t>
  </si>
  <si>
    <t>La mayoría compra una sola vez</t>
  </si>
  <si>
    <t>Cada venta exige conseguir un cliente nuevo</t>
  </si>
  <si>
    <t>Confianza</t>
  </si>
  <si>
    <t>¿Qué tanto necesita el prospecto conocerte antes de comprarte?</t>
  </si>
  <si>
    <t>La propuesta se vende con evidencia clara</t>
  </si>
  <si>
    <t>La reputación reduce objeciones</t>
  </si>
  <si>
    <t>La confianza depende parcialmente del fundador</t>
  </si>
  <si>
    <t>El cliente necesita hablar conmigo</t>
  </si>
  <si>
    <t>Sin mi reputación personal casi no compran</t>
  </si>
  <si>
    <t>Capacidad</t>
  </si>
  <si>
    <t>¿Qué tanto depende la venta y la entrega de ti?</t>
  </si>
  <si>
    <t>El equipo vende y entrega sin depender de mí</t>
  </si>
  <si>
    <t>Intervengo solo en puntos clave</t>
  </si>
  <si>
    <t>Participo en varias etapas</t>
  </si>
  <si>
    <t>Soy necesario para vender o entregar</t>
  </si>
  <si>
    <t>Todo depende directamente de mí</t>
  </si>
  <si>
    <t>Margen</t>
  </si>
  <si>
    <t>¿Qué tan insuficiente es el margen después de considerar todo el esfuerzo?</t>
  </si>
  <si>
    <t>El margen cubre operación y crecimiento</t>
  </si>
  <si>
    <t>Es razonable</t>
  </si>
  <si>
    <t>Es aceptable, pero frágil</t>
  </si>
  <si>
    <t>El esfuerzo consume gran parte del margen</t>
  </si>
  <si>
    <t>Facturo, pero casi no gano</t>
  </si>
  <si>
    <t>RESULTADO</t>
  </si>
  <si>
    <t>ACCIÓN SUGERIDA</t>
  </si>
  <si>
    <t>LECTURA DEL ÍNDICE</t>
  </si>
  <si>
    <t>9–16</t>
  </si>
  <si>
    <t>17–24</t>
  </si>
  <si>
    <t>25–32</t>
  </si>
  <si>
    <t>33–45</t>
  </si>
  <si>
    <t>Diagnóstico</t>
  </si>
  <si>
    <t>Relativamente sano</t>
  </si>
  <si>
    <t>Flujo vulnerable</t>
  </si>
  <si>
    <t>Ventas esporádicas</t>
  </si>
  <si>
    <t>Modelo frágil</t>
  </si>
  <si>
    <t>Foco</t>
  </si>
  <si>
    <t>Proteger y escalar</t>
  </si>
  <si>
    <t>Crear flujo</t>
  </si>
  <si>
    <t>Reducir dependencia</t>
  </si>
  <si>
    <t>Rediseñar portafolio</t>
  </si>
  <si>
    <t>INVENTARIO DEL PORTAFOLIO</t>
  </si>
  <si>
    <t>Haz visible de dónde entra el dinero, cuánto trabajo exige cada oferta y qué papel cumple realmente.</t>
  </si>
  <si>
    <t>HERRAMIENTA 2</t>
  </si>
  <si>
    <t>INGRESO MENSUAL DEL PORTAFOLIO</t>
  </si>
  <si>
    <t>CONCENTRACIÓN DEL PRODUCTO MAYOR</t>
  </si>
  <si>
    <t>OFERTAS RECURRENTES</t>
  </si>
  <si>
    <t>HORAS MENSUALES DE ENTREGA</t>
  </si>
  <si>
    <t>#</t>
  </si>
  <si>
    <t>Producto / servicio</t>
  </si>
  <si>
    <t>Precio promedio</t>
  </si>
  <si>
    <t>Ventas mensuales</t>
  </si>
  <si>
    <t>Ingreso mensual</t>
  </si>
  <si>
    <t>¿Recurrente?</t>
  </si>
  <si>
    <t>Horas por unidad</t>
  </si>
  <si>
    <t>Horas mensuales</t>
  </si>
  <si>
    <t>Responsable</t>
  </si>
  <si>
    <t>% facturación</t>
  </si>
  <si>
    <t>Rol preliminar</t>
  </si>
  <si>
    <t>Oferta siguiente</t>
  </si>
  <si>
    <t>Observaciones</t>
  </si>
  <si>
    <t>PAN</t>
  </si>
  <si>
    <t>TORTA</t>
  </si>
  <si>
    <t>ESTRELLA</t>
  </si>
  <si>
    <t>TOTAL</t>
  </si>
  <si>
    <t>ECONOMÍA DEL PRODUCTO</t>
  </si>
  <si>
    <t>Compara tres ofertas clave. No confundas facturación con contribución real.</t>
  </si>
  <si>
    <t>HERRAMIENTA 3</t>
  </si>
  <si>
    <t>VARIABLE</t>
  </si>
  <si>
    <t>PRODUCTO 1</t>
  </si>
  <si>
    <t>PRODUCTO 2</t>
  </si>
  <si>
    <t>PRODUCTO 3</t>
  </si>
  <si>
    <t>Producto seleccionado</t>
  </si>
  <si>
    <t>Facturación mensual</t>
  </si>
  <si>
    <t>Costo directo unitario</t>
  </si>
  <si>
    <t>Costos directos mensuales</t>
  </si>
  <si>
    <t>Horas de entrega por unidad</t>
  </si>
  <si>
    <t>Costo por hora</t>
  </si>
  <si>
    <t>Costo total de horas</t>
  </si>
  <si>
    <t>Retrabajo / devoluciones mensuales</t>
  </si>
  <si>
    <t>Margen de contribución</t>
  </si>
  <si>
    <t>Margen de contribución %</t>
  </si>
  <si>
    <t>Margen por hora</t>
  </si>
  <si>
    <t>Tasa de recompra</t>
  </si>
  <si>
    <t>% clientes que compran otra oferta</t>
  </si>
  <si>
    <t>Genera caja (1–5)</t>
  </si>
  <si>
    <t>Genera confianza (1–5)</t>
  </si>
  <si>
    <t>Genera clientes (1–5)</t>
  </si>
  <si>
    <t>Genera margen (1–5)</t>
  </si>
  <si>
    <t>Puntaje estratégico</t>
  </si>
  <si>
    <t>ÍNDICE PAN</t>
  </si>
  <si>
    <t>Mide qué tan bien cumple cada oferta la función de generar flujo y facilitar la primera compra.</t>
  </si>
  <si>
    <t>HERRAMIENTA 4</t>
  </si>
  <si>
    <t>Facilidad de entender</t>
  </si>
  <si>
    <t>Bajo riesgo percibido</t>
  </si>
  <si>
    <t>Frecuencia de compra</t>
  </si>
  <si>
    <t>Ciclo de venta corto</t>
  </si>
  <si>
    <t>Baja confianza previa</t>
  </si>
  <si>
    <t>DIAGNÓSTICO</t>
  </si>
  <si>
    <t>ACCIÓN RECOMENDADA</t>
  </si>
  <si>
    <t>CRITERIO</t>
  </si>
  <si>
    <t>1</t>
  </si>
  <si>
    <t>5</t>
  </si>
  <si>
    <t>Difícil de explicar</t>
  </si>
  <si>
    <t>Se entiende de inmediato</t>
  </si>
  <si>
    <t>El cliente siente que apuesta fuerte</t>
  </si>
  <si>
    <t>Probarlo se siente seguro</t>
  </si>
  <si>
    <t>Compra excepcional</t>
  </si>
  <si>
    <t>Compra frecuente o recurrente</t>
  </si>
  <si>
    <t>Decisión lenta y compleja</t>
  </si>
  <si>
    <t>Decisión rápida</t>
  </si>
  <si>
    <t>Necesita conocer al fundador</t>
  </si>
  <si>
    <t>La evidencia basta para decidir</t>
  </si>
  <si>
    <t>ÍNDICE TORTA</t>
  </si>
  <si>
    <t>Mide qué tan bien cumple cada oferta la función de generar margen, diferenciación y crecimiento.</t>
  </si>
  <si>
    <t>HERRAMIENTA 5</t>
  </si>
  <si>
    <t>Rentabilidad por hora</t>
  </si>
  <si>
    <t>Margen unitario</t>
  </si>
  <si>
    <t>Contribución estratégica</t>
  </si>
  <si>
    <t>Potencial de diferenciación</t>
  </si>
  <si>
    <t>Potencial de escalamiento</t>
  </si>
  <si>
    <t>Baja</t>
  </si>
  <si>
    <t>Alta</t>
  </si>
  <si>
    <t>Bajo</t>
  </si>
  <si>
    <t>Alto</t>
  </si>
  <si>
    <t>Apenas aporta al crecimiento</t>
  </si>
  <si>
    <t>Es crítica para el futuro</t>
  </si>
  <si>
    <t>Fácil de comparar o copiar</t>
  </si>
  <si>
    <t>Difícil de sustituir</t>
  </si>
  <si>
    <t>Crece solo con más horas</t>
  </si>
  <si>
    <t>Crece sin depender linealmente de horas</t>
  </si>
  <si>
    <t>MAPA ESTRATÉGICO DEL PORTAFOLIO</t>
  </si>
  <si>
    <t>Cruza capacidad de generar flujo (PAN) con valor estratégico (TORTA). El cuadrante define la decisión.</t>
  </si>
  <si>
    <t>HERRAMIENTA 6</t>
  </si>
  <si>
    <t>VALOR ESTRATÉGICO →</t>
  </si>
  <si>
    <t>Índice PAN</t>
  </si>
  <si>
    <t>Diagnóstico PAN</t>
  </si>
  <si>
    <t>Índice TORTA</t>
  </si>
  <si>
    <t>Diagnóstico TORTA</t>
  </si>
  <si>
    <t>CUADRANTE</t>
  </si>
  <si>
    <t>DECISIÓN ESTRATÉGICA</t>
  </si>
  <si>
    <t>PRIORIDAD</t>
  </si>
  <si>
    <t>Total</t>
  </si>
  <si>
    <t>FLUJO →</t>
  </si>
  <si>
    <t>PAN
Flujo alto / Valor bajo
Conectar con una TORTA</t>
  </si>
  <si>
    <t>ESTRELLA
Flujo alto / Valor alto
Escalar y proteger</t>
  </si>
  <si>
    <t>LASTRE
Flujo bajo / Valor bajo
Rediseñar o retirar</t>
  </si>
  <si>
    <t>TORTA
Flujo bajo / Valor alto
Crear un PAN de entrada</t>
  </si>
  <si>
    <t>N.º PRODUCTOS</t>
  </si>
  <si>
    <t>LASTRE</t>
  </si>
  <si>
    <t>CANVAS DEL PRODUCTO PAN</t>
  </si>
  <si>
    <t>Diseña una oferta fácil de entender, de bajo riesgo y con una ruta explícita hacia una TORTA.</t>
  </si>
  <si>
    <t>HERRAMIENTA 7</t>
  </si>
  <si>
    <t>PRODUCTO PAN A DISEÑAR</t>
  </si>
  <si>
    <t>TORTA A LA QUE DEBE CONDUCIR</t>
  </si>
  <si>
    <t>CLIENTE IDEAL</t>
  </si>
  <si>
    <t>PROBLEMA ESPECÍFICO Y URGENTE</t>
  </si>
  <si>
    <t>RESULTADO PROMETIDO</t>
  </si>
  <si>
    <t>TIEMPO HASTA EL RESULTADO</t>
  </si>
  <si>
    <t>PRECIO DE ENTRADA</t>
  </si>
  <si>
    <t>QUÉ INCLUYE / FORMATO</t>
  </si>
  <si>
    <t>QUÉ ELIMINA EL RIESGO</t>
  </si>
  <si>
    <t>EVIDENCIA QUE GENERA CONFIANZA</t>
  </si>
  <si>
    <t>QUÉ NO INCLUYE</t>
  </si>
  <si>
    <t>PRÓXIMA TORTA</t>
  </si>
  <si>
    <t>CTA / SIGUIENTE PASO</t>
  </si>
  <si>
    <t>CAPACIDAD MÁXIMA MENSUAL</t>
  </si>
  <si>
    <t>RESPONSABLE</t>
  </si>
  <si>
    <t>EXPERIMENTO DE 30 DÍAS</t>
  </si>
  <si>
    <t>MÉTRICA</t>
  </si>
  <si>
    <t>UMBRAL DE ÉXITO</t>
  </si>
  <si>
    <t>NIVEL DE COMPLETITUD DEL CANVAS</t>
  </si>
  <si>
    <t>ESCALERA PAN–TORTA</t>
  </si>
  <si>
    <t>Diseña la secuencia comercial: cada oferta debe resolver algo y abrir naturalmente la siguiente decisión.</t>
  </si>
  <si>
    <t>HERRAMIENTA 8</t>
  </si>
  <si>
    <t>PROSPECTOS CALIFICADOS / MES</t>
  </si>
  <si>
    <t>CONVERSIÓN HASTA LA TORTA</t>
  </si>
  <si>
    <t>INGRESO MENSUAL ESPERADO</t>
  </si>
  <si>
    <t>NIVEL</t>
  </si>
  <si>
    <t>ETAPA</t>
  </si>
  <si>
    <t>OFERTA</t>
  </si>
  <si>
    <t>PRECIO</t>
  </si>
  <si>
    <t>CONVERSIÓN DESDE ANTERIOR</t>
  </si>
  <si>
    <t>CLIENTES ESPERADOS</t>
  </si>
  <si>
    <t>INGRESO ESPERADO</t>
  </si>
  <si>
    <t>RESULTADO / PROMESA</t>
  </si>
  <si>
    <t>SIGUIENTE OFERTA</t>
  </si>
  <si>
    <t>Atracción / diagnóstico</t>
  </si>
  <si>
    <t>PAN puente / recurrencia</t>
  </si>
  <si>
    <t>TORTA principal</t>
  </si>
  <si>
    <t>Continuidad</t>
  </si>
  <si>
    <t>Expansión</t>
  </si>
  <si>
    <t>Expansión / referidos</t>
  </si>
  <si>
    <t>Nueva necesidad</t>
  </si>
  <si>
    <t>REGLA</t>
  </si>
  <si>
    <t>PREGUNTA DE CONTROL</t>
  </si>
  <si>
    <t>Sin salto</t>
  </si>
  <si>
    <t>¿El cliente entiende por qué la siguiente oferta es el paso lógico después del resultado anterior?</t>
  </si>
  <si>
    <t>Sin callejón</t>
  </si>
  <si>
    <t>¿Cada PAN conduce a una TORTA concreta y medible?</t>
  </si>
  <si>
    <t>CAPACIDAD DEL HORNO</t>
  </si>
  <si>
    <t>Comprueba si el portafolio puede crecer sin romper la operación ni volver indispensable al fundador.</t>
  </si>
  <si>
    <t>HERRAMIENTA 9</t>
  </si>
  <si>
    <t>HORAS DEMANDADAS</t>
  </si>
  <si>
    <t>CAPACIDAD ÚTIL</t>
  </si>
  <si>
    <t>UTILIZACIÓN GLOBAL</t>
  </si>
  <si>
    <t>CUELLOS DE BOTELLA</t>
  </si>
  <si>
    <t>PRODUCTO / SERVICIO</t>
  </si>
  <si>
    <t>UNIDADES / MES</t>
  </si>
  <si>
    <t>HORAS / UNIDAD</t>
  </si>
  <si>
    <t>HORAS MENSUALES</t>
  </si>
  <si>
    <t>RECURSO / ROL</t>
  </si>
  <si>
    <t>HORAS DISPONIBLES</t>
  </si>
  <si>
    <t>RESERVA OPERATIVA</t>
  </si>
  <si>
    <t>HORAS DEL PORTAFOLIO</t>
  </si>
  <si>
    <t>UTILIZACIÓN</t>
  </si>
  <si>
    <t>ESTADO</t>
  </si>
  <si>
    <t>Usa exactamente el mismo nombre del responsable registrado en el Inventario para que las horas se consoliden.</t>
  </si>
  <si>
    <t>DIETA DEL PORTAFOLIO</t>
  </si>
  <si>
    <t>Decide qué alimentar, qué mantener y qué dejar de sostener por costumbre.</t>
  </si>
  <si>
    <t>HERRAMIENTA 10</t>
  </si>
  <si>
    <t>INGRESO DEL PORTAFOLIO</t>
  </si>
  <si>
    <t>INGRESO EN ESTRELLAS</t>
  </si>
  <si>
    <t>INGRESO EN LASTRES</t>
  </si>
  <si>
    <t>PRODUCTOS A REDISEÑAR / RETIRAR</t>
  </si>
  <si>
    <t>INGRESO MENSUAL</t>
  </si>
  <si>
    <t>RECOMENDACIÓN AUTOMÁTICA</t>
  </si>
  <si>
    <t>DECISIÓN 90 DÍAS</t>
  </si>
  <si>
    <t>POR QUÉ</t>
  </si>
  <si>
    <t>RESULTADO / META</t>
  </si>
  <si>
    <t>FECHA LÍMITE</t>
  </si>
  <si>
    <t>Escalar</t>
  </si>
  <si>
    <t>Optimizar</t>
  </si>
  <si>
    <t>PLAN DE ACCIÓN 30D</t>
  </si>
  <si>
    <t>No más de tres prioridades. Cada una debe tener resultado, indicador, responsable y evidencia.</t>
  </si>
  <si>
    <t>HERRAMIENTA 11</t>
  </si>
  <si>
    <t>AVANCE DEL PLAN</t>
  </si>
  <si>
    <t>ACCIONES COMPLETADAS</t>
  </si>
  <si>
    <t>BLOQUEADAS</t>
  </si>
  <si>
    <t>PROBLEMA QUE RESUELVE</t>
  </si>
  <si>
    <t>RESULTADO EN 30 DÍAS</t>
  </si>
  <si>
    <t>INDICADOR</t>
  </si>
  <si>
    <t>LÍNEA BASE</t>
  </si>
  <si>
    <t>META</t>
  </si>
  <si>
    <t>AVANCE</t>
  </si>
  <si>
    <t>REVISIÓN</t>
  </si>
  <si>
    <t>SEMANA</t>
  </si>
  <si>
    <t>ACCIÓN</t>
  </si>
  <si>
    <t>ENTREGABLE / EVIDENCIA</t>
  </si>
  <si>
    <t>BLOQUEADOR</t>
  </si>
  <si>
    <t>SIGUIENTE PASO</t>
  </si>
  <si>
    <t>DASHBOARD EJECUTIVO — PAN Y TORTAS</t>
  </si>
  <si>
    <t>Una sola vista para decidir: flujo, valor, capacidad y ejecución.</t>
  </si>
  <si>
    <t>HERRAMIENTA 12</t>
  </si>
  <si>
    <t>N.º</t>
  </si>
  <si>
    <t>FRAGILIDAD COMERCIAL</t>
  </si>
  <si>
    <t>CONCENTRACIÓN MAYOR</t>
  </si>
  <si>
    <t>ESTRELLAS</t>
  </si>
  <si>
    <t>TORTAS</t>
  </si>
  <si>
    <t>LASTRES</t>
  </si>
  <si>
    <t>SIN EVALUAR</t>
  </si>
  <si>
    <t>PRODUCTO</t>
  </si>
  <si>
    <t>INGRESO</t>
  </si>
  <si>
    <t>AVANCE PLAN 30D</t>
  </si>
  <si>
    <t>ACCIONES BLOQUEADAS</t>
  </si>
  <si>
    <t>DECISIONES QUE NO DEBERÍAN ESPERAR</t>
  </si>
  <si>
    <t>MEJOR CANDIDATO A ESCALAR</t>
  </si>
  <si>
    <t>LASTRE QUE EXIGE DECISIÓN</t>
  </si>
  <si>
    <t>PRIORIDAD PRINCIPAL 30D</t>
  </si>
  <si>
    <t>GUÍA DE FACILITACIÓN — TALLER PAN Y TORTAS (4 HORAS)</t>
  </si>
  <si>
    <t>Objetivo: que cada participante salga con una primera versión de su journey interno de clientes, detecte vacíos entre PAN y TORTA y defina un experimento de 30 días.</t>
  </si>
  <si>
    <t>Bloque</t>
  </si>
  <si>
    <t>Tiempo</t>
  </si>
  <si>
    <t>Objetivo pedagógico</t>
  </si>
  <si>
    <t>Herramientas Excel</t>
  </si>
  <si>
    <t>Dinámica</t>
  </si>
  <si>
    <t>Pregunta potente</t>
  </si>
  <si>
    <t>Entregable</t>
  </si>
  <si>
    <t>Riesgo del facilitador</t>
  </si>
  <si>
    <t>Adaptación para participantes</t>
  </si>
  <si>
    <t>Criterio de avance</t>
  </si>
  <si>
    <t>Notas</t>
  </si>
  <si>
    <t>Apertura y marco mental</t>
  </si>
  <si>
    <t>0:00–0:15</t>
  </si>
  <si>
    <t>Instalar la metáfora: no se trata de tener más productos, sino un recorrido que haga avanzar la confianza.</t>
  </si>
  <si>
    <t>Presentación</t>
  </si>
  <si>
    <t>Mini historia + pregunta detonadora</t>
  </si>
  <si>
    <t>¿Qué pasaría si mañana dejaras de vender tu producto más caro?</t>
  </si>
  <si>
    <t>Dolor principal escrito</t>
  </si>
  <si>
    <t>Irse a teoría antes de tocar negocio real</t>
  </si>
  <si>
    <t>Usar ejemplos simples: contador, estética, consultor, restaurante</t>
  </si>
  <si>
    <t>Todos identifican una TORTA actual</t>
  </si>
  <si>
    <t>No explicar todavía todo el modelo; crear tensión.</t>
  </si>
  <si>
    <t>Diagnóstico de fragilidad</t>
  </si>
  <si>
    <t>0:15–0:35</t>
  </si>
  <si>
    <t>Hacer visible si el negocio depende de cierres aislados, confianza personal o ventas complejas.</t>
  </si>
  <si>
    <t>Índice de fragilidad</t>
  </si>
  <si>
    <t>Autoevaluación individual + lectura por rangos</t>
  </si>
  <si>
    <t>¿Tu negocio vende mucho o vende de manera saludable?</t>
  </si>
  <si>
    <t>Puntaje y foco de rediseño</t>
  </si>
  <si>
    <t>Que respondan “idealmente” y no con realidad</t>
  </si>
  <si>
    <t>Pedir responder con el último mes, no con deseos</t>
  </si>
  <si>
    <t>Puntaje calculado y una frase de diagnóstico</t>
  </si>
  <si>
    <t>Validar que no es examen: es espejo.</t>
  </si>
  <si>
    <t>Inventario del portafolio</t>
  </si>
  <si>
    <t>0:35–1:05</t>
  </si>
  <si>
    <t>Ordenar productos/servicios actuales por ingreso, horas, recurrencia y rol preliminar.</t>
  </si>
  <si>
    <t>Inventario del Portafolio</t>
  </si>
  <si>
    <t>Llenado guiado de máximo 10 ofertas</t>
  </si>
  <si>
    <t>¿Qué producto te da dinero y cuál te compra tiempo o confianza?</t>
  </si>
  <si>
    <t>Lista de ofertas actuales</t>
  </si>
  <si>
    <t>Llenar demasiados productos secundarios</t>
  </si>
  <si>
    <t>Pedir agrupar variantes parecidas</t>
  </si>
  <si>
    <t>8–10 ofertas visibles con ingreso y horas</t>
  </si>
  <si>
    <t>Corregir nombres: usar el mismo nombre en hojas siguientes.</t>
  </si>
  <si>
    <t>Economía y rol estratégico</t>
  </si>
  <si>
    <t>1:05–1:35</t>
  </si>
  <si>
    <t>Separar facturación de contribución real: caja, margen, clientes, confianza y capacidad.</t>
  </si>
  <si>
    <t>Economía del producto + Índice PAN + Índice TORTA</t>
  </si>
  <si>
    <t>Evaluar 3 ofertas críticas y luego puntuar portafolio</t>
  </si>
  <si>
    <t>¿Qué oferta parece buena, pero consume el horno?</t>
  </si>
  <si>
    <t>Puntajes PAN/TORTA</t>
  </si>
  <si>
    <t>Quedarse atrapados en números exactos</t>
  </si>
  <si>
    <t>Aceptar estimaciones razonables si no tienen data</t>
  </si>
  <si>
    <t>Al menos 3 ofertas evaluadas con diagnóstico</t>
  </si>
  <si>
    <t>Priorizar criterio sobre precisión contable perfecta.</t>
  </si>
  <si>
    <t>Mapa del portafolio</t>
  </si>
  <si>
    <t>1:35–2:00</t>
  </si>
  <si>
    <t>Ubicar ofertas en ESTRELLA, PAN, TORTA o LASTRE y tomar decisiones iniciales.</t>
  </si>
  <si>
    <t>Mapa estratégico</t>
  </si>
  <si>
    <t>Lectura de cuadrantes + conversación en pares</t>
  </si>
  <si>
    <t>¿Qué falta entre lo que atrae y lo que realmente quieres vender?</t>
  </si>
  <si>
    <t>Primer mapa de decisiones</t>
  </si>
  <si>
    <t>Defender productos por apego emocional</t>
  </si>
  <si>
    <t>Preguntar por evidencia, no por cariño al producto</t>
  </si>
  <si>
    <t>Una oferta a escalar y una a rediseñar/retirar</t>
  </si>
  <si>
    <t>Aquí aparece el gap del journey.</t>
  </si>
  <si>
    <t>Pausa</t>
  </si>
  <si>
    <t>2:00–2:10</t>
  </si>
  <si>
    <t>Descanso breve para evitar saturación cognitiva.</t>
  </si>
  <si>
    <t>—</t>
  </si>
  <si>
    <t>Pausa activa</t>
  </si>
  <si>
    <t>Energía recuperada</t>
  </si>
  <si>
    <t>Alargar la pausa</t>
  </si>
  <si>
    <t>Avisar hora exacta de retorno</t>
  </si>
  <si>
    <t>Retorno puntual</t>
  </si>
  <si>
    <t>Reiniciar con una idea: “ahora diseñamos el puente”.</t>
  </si>
  <si>
    <t>Diseño del PAN</t>
  </si>
  <si>
    <t>2:10–2:45</t>
  </si>
  <si>
    <t>Diseñar o rediseñar una oferta de entrada clara, segura y conectada a una TORTA.</t>
  </si>
  <si>
    <t>Canvas Producto PAN</t>
  </si>
  <si>
    <t>Trabajo individual + revisión rápida</t>
  </si>
  <si>
    <t>¿Qué resultado pequeño debe vivir el cliente para confiar en la TORTA?</t>
  </si>
  <si>
    <t>Canvas PAN completo</t>
  </si>
  <si>
    <t>Diseñar un PAN barato pero inútil</t>
  </si>
  <si>
    <t>Enfatizar resultado, riesgo y siguiente paso</t>
  </si>
  <si>
    <t>Canvas con promesa, precio, riesgo y CTA</t>
  </si>
  <si>
    <t>No permitir PAN sin TORTA de destino.</t>
  </si>
  <si>
    <t>Journey / escalera PAN–TORTA</t>
  </si>
  <si>
    <t>2:45–3:20</t>
  </si>
  <si>
    <t>Convertir productos aislados en una secuencia: atracción, entrada, confianza, resultado, torta, continuidad.</t>
  </si>
  <si>
    <t>Journey Cliente + Escalera PAN-TORTA</t>
  </si>
  <si>
    <t>Mapa visual del recorrido + simulación verbal</t>
  </si>
  <si>
    <t>¿Cuál es la siguiente decisión natural del cliente después de cada resultado?</t>
  </si>
  <si>
    <t>Journey de 5–6 niveles</t>
  </si>
  <si>
    <t>Confundir escalera con lista de precios</t>
  </si>
  <si>
    <t>Pedir que cada peldaño responda una pregunta del cliente</t>
  </si>
  <si>
    <t>Recorrido sin saltos ni callejones</t>
  </si>
  <si>
    <t>Usar lenguaje del cliente, no del negocio.</t>
  </si>
  <si>
    <t>Capacidad y dieta</t>
  </si>
  <si>
    <t>3:20–3:40</t>
  </si>
  <si>
    <t>Verificar si el portafolio puede crecer sin saturar al fundador o al equipo.</t>
  </si>
  <si>
    <t>Capacidad del Horno + Dieta del Portafolio</t>
  </si>
  <si>
    <t>Revisión de horas + decisiones de dieta</t>
  </si>
  <si>
    <t>¿Qué producto te hace crecer y cuál solo te ocupa?</t>
  </si>
  <si>
    <t>Decisiones: eliminar, fusionar, mantener, escalar</t>
  </si>
  <si>
    <t>Querer escalar todo</t>
  </si>
  <si>
    <t>Pedir escoger máximo 3 prioridades</t>
  </si>
  <si>
    <t>Lista de decisiones 90 días</t>
  </si>
  <si>
    <t>Conectar a delegación y estandarización.</t>
  </si>
  <si>
    <t>Plan de 30 días</t>
  </si>
  <si>
    <t>3:40–4:00</t>
  </si>
  <si>
    <t>Bajar el diseño a una prueba concreta, medible y accionable.</t>
  </si>
  <si>
    <t>Plan 30D + Dashboard</t>
  </si>
  <si>
    <t>Compromiso público + métrica mínima</t>
  </si>
  <si>
    <t>¿Qué vas a probar antes de construir?</t>
  </si>
  <si>
    <t>Experimento y primera acción</t>
  </si>
  <si>
    <t>Salir con inspiración sin implementación</t>
  </si>
  <si>
    <t>Exigir responsable, fecha y evidencia</t>
  </si>
  <si>
    <t>Tres prioridades y primera semana definida</t>
  </si>
  <si>
    <t>Cerrar con compromiso y foto del plan.</t>
  </si>
  <si>
    <t>JOURNEY INTERNO DEL CLIENTE — DEL PAN A LA TORTA</t>
  </si>
  <si>
    <t>Diseña el recorrido desde el primer contacto hasta la oferta de mayor valor. Cada paso debe reducir riesgo, aumentar confianza y abrir la siguiente decisión.</t>
  </si>
  <si>
    <t>Nivel</t>
  </si>
  <si>
    <t>Momento del cliente</t>
  </si>
  <si>
    <t>Pregunta interna del cliente</t>
  </si>
  <si>
    <t>Producto/servicio actual o faltante</t>
  </si>
  <si>
    <t>Tipo</t>
  </si>
  <si>
    <t>Promesa / resultado visible</t>
  </si>
  <si>
    <t>Riesgo que reduce</t>
  </si>
  <si>
    <t>Prueba de confianza</t>
  </si>
  <si>
    <t>Precio</t>
  </si>
  <si>
    <t>Tiempo al resultado</t>
  </si>
  <si>
    <t>Conversión esperada</t>
  </si>
  <si>
    <t>Gap detectado</t>
  </si>
  <si>
    <t>Decisión</t>
  </si>
  <si>
    <t>Atracción</t>
  </si>
  <si>
    <t>¿Esto es para mí?</t>
  </si>
  <si>
    <t>Contenido / diagnóstico</t>
  </si>
  <si>
    <t>Claridad del problema</t>
  </si>
  <si>
    <t>Riesgo de no entender</t>
  </si>
  <si>
    <t>Checklist, test, webinar, caso</t>
  </si>
  <si>
    <t>Inmediato</t>
  </si>
  <si>
    <t>Crear / mejorar</t>
  </si>
  <si>
    <t>Primera compra</t>
  </si>
  <si>
    <t>¿Puedo probar sin apostar demasiado?</t>
  </si>
  <si>
    <t>Resultado pequeño, específico y rápido</t>
  </si>
  <si>
    <t>Riesgo económico y de confianza</t>
  </si>
  <si>
    <t>Garantía, muestra, taller, piloto</t>
  </si>
  <si>
    <t>1–7 días</t>
  </si>
  <si>
    <t>PAN puente o TORTA</t>
  </si>
  <si>
    <t>Activación / confianza</t>
  </si>
  <si>
    <t>¿Me funcionó y me entienden?</t>
  </si>
  <si>
    <t>PAN puente</t>
  </si>
  <si>
    <t>Evidencia de avance</t>
  </si>
  <si>
    <t>Riesgo de continuidad</t>
  </si>
  <si>
    <t>Indicador, diagnóstico, entregable usable</t>
  </si>
  <si>
    <t>7–30 días</t>
  </si>
  <si>
    <t>Transformación</t>
  </si>
  <si>
    <t>¿Vale la pena invertir más?</t>
  </si>
  <si>
    <t>Resultado de mayor valor</t>
  </si>
  <si>
    <t>Riesgo de implementación</t>
  </si>
  <si>
    <t>Plan, metodología, casos, seguimiento</t>
  </si>
  <si>
    <t>30–120 días</t>
  </si>
  <si>
    <t>¿Cómo sostengo y mejoro esto?</t>
  </si>
  <si>
    <t>Acompañamiento o mantenimiento</t>
  </si>
  <si>
    <t>Riesgo de retroceder</t>
  </si>
  <si>
    <t>Reportes, reuniones, métricas</t>
  </si>
  <si>
    <t>Mensual</t>
  </si>
  <si>
    <t>Expansión / referido</t>
  </si>
  <si>
    <t>Mantener / escalar</t>
  </si>
  <si>
    <t>¿Qué más puedo resolver o a quién puedo recomendar?</t>
  </si>
  <si>
    <t>Nueva necesidad o recomendación</t>
  </si>
  <si>
    <t>Riesgo de estancamiento</t>
  </si>
  <si>
    <t>Testimonio, comunidad, referidos</t>
  </si>
  <si>
    <t>Variable</t>
  </si>
  <si>
    <t>REGLAS DE CALIDAD DEL JOURNEY</t>
  </si>
  <si>
    <t>El cliente debe entender por qué el siguiente paso es lógico después del resultado anterior.</t>
  </si>
  <si>
    <t>2</t>
  </si>
  <si>
    <t>Ningún PAN debe terminar en sí mismo: debe conducir a una TORTA concreta.</t>
  </si>
  <si>
    <t>3</t>
  </si>
  <si>
    <t>Sin producto fantasma</t>
  </si>
  <si>
    <t>Si falta un peldaño, marcarlo como producto faltante y convertirlo en experimento.</t>
  </si>
  <si>
    <t>4</t>
  </si>
  <si>
    <t>Sin saturar el horno</t>
  </si>
  <si>
    <t>Antes de escalar, validar horas y responsable.</t>
  </si>
  <si>
    <t>Sin promesas vagas</t>
  </si>
  <si>
    <t>Cada oferta debe entregar un resultado visible, no solo actividades.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</si>
</sst>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0.0"/>
    <numFmt numFmtId="166" formatCode="dd/mm/yyyy"/>
    <numFmt numFmtId="167" formatCode="&quot;S/ &quot;\ #,##0.00"/>
    <numFmt numFmtId="168" formatCode="&quot;S/ &quot;\ #,##0"/>
  </numFmts>
  <fonts count="42" x14ac:knownFonts="1">
    <font>
      <sz val="12"/>
      <color theme="1"/>
      <name val="Aptos Narrow"/>
    </font>
    <font>
      <sz val="12"/>
      <color theme="1"/>
      <name val="Baskerville"/>
    </font>
    <font>
      <sz val="20"/>
      <color theme="1"/>
      <name val="Baskerville"/>
    </font>
    <font>
      <sz val="12"/>
      <color theme="1"/>
      <name val="Aptos Narrow"/>
    </font>
    <font>
      <sz val="12"/>
      <color rgb="FF000000"/>
      <name val="Aptos Narrow"/>
    </font>
    <font>
      <b/>
      <sz val="20"/>
      <color theme="1"/>
      <name val="Aptos Narrow"/>
    </font>
    <font>
      <b/>
      <sz val="26"/>
      <color rgb="FF0B0B0B"/>
      <name val="Arial"/>
    </font>
    <font>
      <i/>
      <sz val="11"/>
      <color rgb="FF404040"/>
      <name val="Arial"/>
    </font>
    <font>
      <b/>
      <i/>
      <sz val="11"/>
      <color rgb="FF404040"/>
      <name val="Arial"/>
    </font>
    <font>
      <b/>
      <i/>
      <sz val="11"/>
      <color rgb="FFFFFFFF"/>
      <name val="Arial"/>
    </font>
    <font>
      <b/>
      <sz val="10"/>
      <color rgb="FFFFFFFF"/>
      <name val="Arial"/>
    </font>
    <font>
      <b/>
      <sz val="10"/>
      <color rgb="FF0B0B0B"/>
      <name val="Arial"/>
    </font>
    <font>
      <sz val="10"/>
      <color rgb="FF0B0B0B"/>
      <name val="Arial"/>
    </font>
    <font>
      <b/>
      <sz val="18"/>
      <color rgb="FF0B0B0B"/>
      <name val="Arial"/>
    </font>
    <font>
      <b/>
      <sz val="16"/>
      <color rgb="FF0B0B0B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2"/>
      <color theme="1"/>
      <name val="Arial"/>
    </font>
    <font>
      <b/>
      <sz val="24"/>
      <color rgb="FF0B0B0B"/>
      <name val="Arial"/>
    </font>
    <font>
      <b/>
      <sz val="20"/>
      <color rgb="FF0B0B0B"/>
      <name val="Arial"/>
    </font>
    <font>
      <b/>
      <sz val="22"/>
      <color rgb="FF0B0B0B"/>
      <name val="Arial"/>
    </font>
    <font>
      <b/>
      <sz val="22"/>
      <color rgb="FFFFFFFF"/>
      <name val="Arial"/>
    </font>
    <font>
      <b/>
      <sz val="16"/>
      <color rgb="FFFFFFFF"/>
      <name val="Aptos Narrow"/>
    </font>
    <font>
      <i/>
      <sz val="12"/>
      <color rgb="FF3A2A1A"/>
      <name val="Aptos Narrow"/>
    </font>
    <font>
      <b/>
      <sz val="12"/>
      <color rgb="FFFFFFFF"/>
      <name val="Aptos Narrow"/>
    </font>
    <font>
      <sz val="14"/>
      <color rgb="FF0B0B0B"/>
      <name val="Arial"/>
      <family val="2"/>
    </font>
    <font>
      <b/>
      <sz val="14"/>
      <color rgb="FF0B0B0B"/>
      <name val="Arial"/>
      <family val="2"/>
    </font>
    <font>
      <b/>
      <sz val="14"/>
      <color rgb="FFFFFFFF"/>
      <name val="Arial"/>
      <family val="2"/>
    </font>
    <font>
      <i/>
      <sz val="14"/>
      <color rgb="FF404040"/>
      <name val="Arial"/>
      <family val="2"/>
    </font>
    <font>
      <b/>
      <i/>
      <sz val="14"/>
      <color rgb="FFFFFFFF"/>
      <name val="Arial"/>
      <family val="2"/>
    </font>
    <font>
      <b/>
      <sz val="20"/>
      <color rgb="FF0B0B0B"/>
      <name val="Arial"/>
      <family val="2"/>
    </font>
    <font>
      <b/>
      <sz val="10"/>
      <color rgb="FFFFFFFF"/>
      <name val="Arial"/>
      <family val="2"/>
    </font>
    <font>
      <sz val="14"/>
      <color theme="1"/>
      <name val="Aptos Narrow"/>
    </font>
    <font>
      <b/>
      <sz val="20"/>
      <color rgb="FFFFFFFF"/>
      <name val="Arial"/>
      <family val="2"/>
    </font>
    <font>
      <sz val="14"/>
      <color theme="1"/>
      <name val="Arial"/>
      <family val="2"/>
    </font>
    <font>
      <i/>
      <sz val="14"/>
      <color rgb="FF0B0B0B"/>
      <name val="Arial"/>
      <family val="2"/>
    </font>
    <font>
      <b/>
      <sz val="16"/>
      <color rgb="FFFFFFFF"/>
      <name val="Arial"/>
      <family val="2"/>
    </font>
    <font>
      <sz val="16"/>
      <color rgb="FF0B0B0B"/>
      <name val="Arial"/>
      <family val="2"/>
    </font>
    <font>
      <b/>
      <sz val="16"/>
      <color rgb="FF0B0B0B"/>
      <name val="Arial"/>
      <family val="2"/>
    </font>
    <font>
      <i/>
      <sz val="16"/>
      <color rgb="FF404040"/>
      <name val="Arial"/>
      <family val="2"/>
    </font>
    <font>
      <sz val="16"/>
      <color theme="1"/>
      <name val="Aptos Narrow"/>
    </font>
    <font>
      <b/>
      <sz val="14"/>
      <color theme="1"/>
      <name val="Aptos Narrow"/>
    </font>
  </fonts>
  <fills count="23">
    <fill>
      <patternFill patternType="none"/>
    </fill>
    <fill>
      <patternFill patternType="gray125"/>
    </fill>
    <fill>
      <patternFill patternType="solid">
        <fgColor theme="4" tint="0.79992065187536243"/>
        <bgColor indexed="65"/>
      </patternFill>
    </fill>
    <fill>
      <patternFill patternType="solid">
        <fgColor rgb="FFFFFFFF"/>
      </patternFill>
    </fill>
    <fill>
      <patternFill patternType="solid">
        <fgColor rgb="FFFF1A1A"/>
      </patternFill>
    </fill>
    <fill>
      <patternFill patternType="solid">
        <fgColor rgb="FF0B0B0B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404040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21A9D6"/>
      </patternFill>
    </fill>
    <fill>
      <patternFill patternType="solid">
        <fgColor rgb="FF4CAF50"/>
      </patternFill>
    </fill>
    <fill>
      <patternFill patternType="solid">
        <fgColor rgb="FFFFF200"/>
      </patternFill>
    </fill>
    <fill>
      <patternFill patternType="solid">
        <fgColor rgb="FFFFC000"/>
      </patternFill>
    </fill>
    <fill>
      <patternFill patternType="solid">
        <fgColor rgb="FFBFE7F7"/>
      </patternFill>
    </fill>
    <fill>
      <patternFill patternType="solid">
        <fgColor rgb="FFF4CCCC"/>
      </patternFill>
    </fill>
    <fill>
      <patternFill patternType="solid">
        <fgColor theme="6" tint="0.79995117038483843"/>
        <bgColor indexed="65"/>
      </patternFill>
    </fill>
    <fill>
      <patternFill patternType="solid">
        <fgColor rgb="FF111111"/>
      </patternFill>
    </fill>
    <fill>
      <patternFill patternType="solid">
        <fgColor rgb="FFF8F1E8"/>
      </patternFill>
    </fill>
    <fill>
      <patternFill patternType="solid">
        <fgColor rgb="FF7A1B58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B0B0B"/>
      </left>
      <right/>
      <top style="thin">
        <color rgb="FF0B0B0B"/>
      </top>
      <bottom style="thin">
        <color rgb="FF0B0B0B"/>
      </bottom>
      <diagonal/>
    </border>
    <border>
      <left/>
      <right/>
      <top style="thin">
        <color rgb="FF0B0B0B"/>
      </top>
      <bottom style="thin">
        <color rgb="FF0B0B0B"/>
      </bottom>
      <diagonal/>
    </border>
    <border>
      <left/>
      <right style="thin">
        <color rgb="FF0B0B0B"/>
      </right>
      <top style="thin">
        <color rgb="FF0B0B0B"/>
      </top>
      <bottom style="thin">
        <color rgb="FF0B0B0B"/>
      </bottom>
      <diagonal/>
    </border>
    <border>
      <left style="thin">
        <color rgb="FF0B0B0B"/>
      </left>
      <right style="thin">
        <color rgb="FF0B0B0B"/>
      </right>
      <top style="thin">
        <color rgb="FF0B0B0B"/>
      </top>
      <bottom style="thin">
        <color rgb="FF0B0B0B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B0B0B"/>
      </left>
      <right style="thin">
        <color rgb="FF0B0B0B"/>
      </right>
      <top style="thin">
        <color rgb="FF0B0B0B"/>
      </top>
      <bottom/>
      <diagonal/>
    </border>
    <border>
      <left style="thin">
        <color rgb="FF0B0B0B"/>
      </left>
      <right style="thin">
        <color rgb="FF0B0B0B"/>
      </right>
      <top/>
      <bottom style="thin">
        <color rgb="FF0B0B0B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B0B0B"/>
      </left>
      <right/>
      <top style="thin">
        <color rgb="FF0B0B0B"/>
      </top>
      <bottom/>
      <diagonal/>
    </border>
    <border>
      <left/>
      <right/>
      <top style="thin">
        <color rgb="FF0B0B0B"/>
      </top>
      <bottom/>
      <diagonal/>
    </border>
    <border>
      <left/>
      <right style="thin">
        <color rgb="FF0B0B0B"/>
      </right>
      <top style="thin">
        <color rgb="FF0B0B0B"/>
      </top>
      <bottom/>
      <diagonal/>
    </border>
    <border>
      <left style="thin">
        <color rgb="FF0B0B0B"/>
      </left>
      <right/>
      <top/>
      <bottom/>
      <diagonal/>
    </border>
    <border>
      <left/>
      <right style="thin">
        <color rgb="FF0B0B0B"/>
      </right>
      <top/>
      <bottom/>
      <diagonal/>
    </border>
    <border>
      <left style="thin">
        <color rgb="FF0B0B0B"/>
      </left>
      <right/>
      <top/>
      <bottom style="thin">
        <color rgb="FF0B0B0B"/>
      </bottom>
      <diagonal/>
    </border>
    <border>
      <left/>
      <right/>
      <top/>
      <bottom style="thin">
        <color rgb="FF0B0B0B"/>
      </bottom>
      <diagonal/>
    </border>
    <border>
      <left/>
      <right style="thin">
        <color rgb="FF0B0B0B"/>
      </right>
      <top/>
      <bottom style="thin">
        <color rgb="FF0B0B0B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5" borderId="18" xfId="0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2" fillId="12" borderId="19" xfId="0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left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7" fillId="0" borderId="0" xfId="0" applyFont="1"/>
    <xf numFmtId="166" fontId="12" fillId="6" borderId="19" xfId="0" applyNumberFormat="1" applyFont="1" applyFill="1" applyBorder="1" applyAlignment="1">
      <alignment horizontal="left" vertical="center" wrapText="1"/>
    </xf>
    <xf numFmtId="9" fontId="12" fillId="6" borderId="19" xfId="0" applyNumberFormat="1" applyFont="1" applyFill="1" applyBorder="1" applyAlignment="1">
      <alignment horizontal="left" vertical="center" wrapText="1"/>
    </xf>
    <xf numFmtId="0" fontId="12" fillId="3" borderId="25" xfId="0" applyFont="1" applyFill="1" applyBorder="1"/>
    <xf numFmtId="0" fontId="11" fillId="3" borderId="25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7" fillId="3" borderId="25" xfId="0" applyFont="1" applyFill="1" applyBorder="1" applyAlignment="1">
      <alignment vertical="center"/>
    </xf>
    <xf numFmtId="0" fontId="22" fillId="20" borderId="26" xfId="0" applyFont="1" applyFill="1" applyBorder="1" applyAlignment="1">
      <alignment horizontal="center" vertical="center"/>
    </xf>
    <xf numFmtId="0" fontId="22" fillId="20" borderId="27" xfId="0" applyFont="1" applyFill="1" applyBorder="1" applyAlignment="1">
      <alignment horizontal="center" vertical="center"/>
    </xf>
    <xf numFmtId="0" fontId="22" fillId="20" borderId="28" xfId="0" applyFont="1" applyFill="1" applyBorder="1" applyAlignment="1">
      <alignment horizontal="center" vertical="center"/>
    </xf>
    <xf numFmtId="0" fontId="23" fillId="21" borderId="29" xfId="0" applyFont="1" applyFill="1" applyBorder="1" applyAlignment="1">
      <alignment wrapText="1"/>
    </xf>
    <xf numFmtId="0" fontId="23" fillId="21" borderId="30" xfId="0" applyFont="1" applyFill="1" applyBorder="1" applyAlignment="1">
      <alignment wrapText="1"/>
    </xf>
    <xf numFmtId="0" fontId="23" fillId="21" borderId="31" xfId="0" applyFont="1" applyFill="1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4" fillId="22" borderId="29" xfId="0" applyFont="1" applyFill="1" applyBorder="1" applyAlignment="1">
      <alignment horizontal="center" vertical="center"/>
    </xf>
    <xf numFmtId="0" fontId="24" fillId="22" borderId="30" xfId="0" applyFont="1" applyFill="1" applyBorder="1" applyAlignment="1">
      <alignment horizontal="center" vertical="center"/>
    </xf>
    <xf numFmtId="0" fontId="24" fillId="22" borderId="31" xfId="0" applyFont="1" applyFill="1" applyBorder="1" applyAlignment="1">
      <alignment horizontal="center" vertical="center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24" fillId="20" borderId="29" xfId="0" applyFont="1" applyFill="1" applyBorder="1"/>
    <xf numFmtId="0" fontId="24" fillId="20" borderId="30" xfId="0" applyFont="1" applyFill="1" applyBorder="1"/>
    <xf numFmtId="0" fontId="24" fillId="20" borderId="31" xfId="0" applyFont="1" applyFill="1" applyBorder="1"/>
    <xf numFmtId="0" fontId="0" fillId="0" borderId="33" xfId="0" applyBorder="1"/>
    <xf numFmtId="0" fontId="0" fillId="0" borderId="34" xfId="0" applyBorder="1"/>
    <xf numFmtId="0" fontId="6" fillId="3" borderId="0" xfId="0" applyFont="1" applyFill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9" fontId="14" fillId="11" borderId="18" xfId="0" applyNumberFormat="1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168" fontId="19" fillId="11" borderId="18" xfId="0" applyNumberFormat="1" applyFont="1" applyFill="1" applyBorder="1" applyAlignment="1">
      <alignment horizontal="center" vertical="center" wrapText="1"/>
    </xf>
    <xf numFmtId="164" fontId="19" fillId="7" borderId="18" xfId="0" applyNumberFormat="1" applyFont="1" applyFill="1" applyBorder="1" applyAlignment="1">
      <alignment horizontal="center" vertical="center" wrapText="1"/>
    </xf>
    <xf numFmtId="165" fontId="19" fillId="10" borderId="18" xfId="0" applyNumberFormat="1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20" fillId="12" borderId="18" xfId="0" applyFont="1" applyFill="1" applyBorder="1" applyAlignment="1">
      <alignment horizontal="center" vertical="center" wrapText="1"/>
    </xf>
    <xf numFmtId="0" fontId="20" fillId="15" borderId="18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9" fontId="13" fillId="8" borderId="18" xfId="0" applyNumberFormat="1" applyFont="1" applyFill="1" applyBorder="1" applyAlignment="1">
      <alignment horizontal="center" vertical="center" wrapText="1"/>
    </xf>
    <xf numFmtId="1" fontId="13" fillId="10" borderId="18" xfId="0" applyNumberFormat="1" applyFont="1" applyFill="1" applyBorder="1" applyAlignment="1">
      <alignment horizontal="center" vertical="center" wrapText="1"/>
    </xf>
    <xf numFmtId="165" fontId="13" fillId="11" borderId="18" xfId="0" applyNumberFormat="1" applyFont="1" applyFill="1" applyBorder="1" applyAlignment="1">
      <alignment horizontal="center" vertical="center" wrapText="1"/>
    </xf>
    <xf numFmtId="164" fontId="13" fillId="7" borderId="18" xfId="0" applyNumberFormat="1" applyFont="1" applyFill="1" applyBorder="1" applyAlignment="1">
      <alignment horizontal="center" vertical="center" wrapText="1"/>
    </xf>
    <xf numFmtId="1" fontId="13" fillId="18" borderId="18" xfId="0" applyNumberFormat="1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left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26" fillId="7" borderId="18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/>
    </xf>
    <xf numFmtId="0" fontId="26" fillId="3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7" fillId="9" borderId="18" xfId="0" applyFont="1" applyFill="1" applyBorder="1" applyAlignment="1">
      <alignment horizontal="center" vertical="center" wrapText="1"/>
    </xf>
    <xf numFmtId="0" fontId="25" fillId="10" borderId="19" xfId="0" applyFont="1" applyFill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9" fillId="4" borderId="15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 wrapText="1"/>
    </xf>
    <xf numFmtId="164" fontId="26" fillId="7" borderId="18" xfId="0" applyNumberFormat="1" applyFont="1" applyFill="1" applyBorder="1" applyAlignment="1">
      <alignment horizontal="center" vertical="center" wrapText="1"/>
    </xf>
    <xf numFmtId="165" fontId="26" fillId="10" borderId="18" xfId="0" applyNumberFormat="1" applyFont="1" applyFill="1" applyBorder="1" applyAlignment="1">
      <alignment horizontal="center" vertical="center" wrapText="1"/>
    </xf>
    <xf numFmtId="0" fontId="25" fillId="12" borderId="19" xfId="0" applyFont="1" applyFill="1" applyBorder="1" applyAlignment="1">
      <alignment horizontal="center" vertical="center" wrapText="1"/>
    </xf>
    <xf numFmtId="0" fontId="25" fillId="6" borderId="19" xfId="0" applyFont="1" applyFill="1" applyBorder="1" applyAlignment="1">
      <alignment horizontal="left" vertical="center" wrapText="1"/>
    </xf>
    <xf numFmtId="167" fontId="25" fillId="6" borderId="19" xfId="0" applyNumberFormat="1" applyFont="1" applyFill="1" applyBorder="1" applyAlignment="1">
      <alignment horizontal="left" vertical="center" wrapText="1"/>
    </xf>
    <xf numFmtId="167" fontId="25" fillId="11" borderId="19" xfId="0" applyNumberFormat="1" applyFont="1" applyFill="1" applyBorder="1" applyAlignment="1">
      <alignment horizontal="left" vertical="center" wrapText="1"/>
    </xf>
    <xf numFmtId="0" fontId="25" fillId="6" borderId="19" xfId="0" applyFont="1" applyFill="1" applyBorder="1" applyAlignment="1">
      <alignment horizontal="center" vertical="center" wrapText="1"/>
    </xf>
    <xf numFmtId="0" fontId="25" fillId="10" borderId="19" xfId="0" applyFont="1" applyFill="1" applyBorder="1" applyAlignment="1">
      <alignment horizontal="left" vertical="center" wrapText="1"/>
    </xf>
    <xf numFmtId="164" fontId="25" fillId="7" borderId="19" xfId="0" applyNumberFormat="1" applyFont="1" applyFill="1" applyBorder="1" applyAlignment="1">
      <alignment horizontal="center" vertical="center" wrapText="1"/>
    </xf>
    <xf numFmtId="167" fontId="27" fillId="9" borderId="18" xfId="0" applyNumberFormat="1" applyFont="1" applyFill="1" applyBorder="1" applyAlignment="1">
      <alignment horizontal="center" vertical="center" wrapText="1"/>
    </xf>
    <xf numFmtId="164" fontId="27" fillId="9" borderId="18" xfId="0" applyNumberFormat="1" applyFont="1" applyFill="1" applyBorder="1" applyAlignment="1">
      <alignment horizontal="center" vertical="center" wrapText="1"/>
    </xf>
    <xf numFmtId="167" fontId="30" fillId="11" borderId="18" xfId="0" applyNumberFormat="1" applyFont="1" applyFill="1" applyBorder="1" applyAlignment="1">
      <alignment horizontal="center" vertical="center" wrapText="1"/>
    </xf>
    <xf numFmtId="164" fontId="30" fillId="7" borderId="18" xfId="0" applyNumberFormat="1" applyFont="1" applyFill="1" applyBorder="1" applyAlignment="1">
      <alignment horizontal="center" vertical="center" wrapText="1"/>
    </xf>
    <xf numFmtId="0" fontId="30" fillId="8" borderId="18" xfId="0" applyFont="1" applyFill="1" applyBorder="1" applyAlignment="1">
      <alignment horizontal="center" vertical="center" wrapText="1"/>
    </xf>
    <xf numFmtId="165" fontId="30" fillId="10" borderId="18" xfId="0" applyNumberFormat="1" applyFont="1" applyFill="1" applyBorder="1" applyAlignment="1">
      <alignment horizontal="center" vertical="center" wrapText="1"/>
    </xf>
    <xf numFmtId="0" fontId="31" fillId="9" borderId="18" xfId="0" applyFont="1" applyFill="1" applyBorder="1" applyAlignment="1">
      <alignment horizontal="center" vertical="center" wrapText="1"/>
    </xf>
    <xf numFmtId="0" fontId="27" fillId="13" borderId="18" xfId="0" applyFont="1" applyFill="1" applyBorder="1" applyAlignment="1">
      <alignment horizontal="center" vertical="center" wrapText="1"/>
    </xf>
    <xf numFmtId="0" fontId="27" fillId="14" borderId="18" xfId="0" applyFont="1" applyFill="1" applyBorder="1" applyAlignment="1">
      <alignment horizontal="center" vertical="center" wrapText="1"/>
    </xf>
    <xf numFmtId="0" fontId="25" fillId="11" borderId="19" xfId="0" applyFont="1" applyFill="1" applyBorder="1" applyAlignment="1">
      <alignment horizontal="center" vertical="center" wrapText="1"/>
    </xf>
    <xf numFmtId="0" fontId="32" fillId="0" borderId="0" xfId="0" applyFont="1"/>
    <xf numFmtId="167" fontId="25" fillId="3" borderId="19" xfId="0" applyNumberFormat="1" applyFont="1" applyFill="1" applyBorder="1" applyAlignment="1">
      <alignment horizontal="center" vertical="center" wrapText="1"/>
    </xf>
    <xf numFmtId="164" fontId="25" fillId="3" borderId="19" xfId="0" applyNumberFormat="1" applyFont="1" applyFill="1" applyBorder="1" applyAlignment="1">
      <alignment horizontal="center" vertical="center" wrapText="1"/>
    </xf>
    <xf numFmtId="43" fontId="25" fillId="3" borderId="19" xfId="0" applyNumberFormat="1" applyFont="1" applyFill="1" applyBorder="1" applyAlignment="1">
      <alignment horizontal="center" vertical="center" wrapText="1"/>
    </xf>
    <xf numFmtId="0" fontId="33" fillId="9" borderId="18" xfId="0" applyFont="1" applyFill="1" applyBorder="1" applyAlignment="1">
      <alignment horizontal="center" vertical="center" wrapText="1"/>
    </xf>
    <xf numFmtId="0" fontId="30" fillId="16" borderId="18" xfId="0" applyFont="1" applyFill="1" applyBorder="1" applyAlignment="1">
      <alignment horizontal="center" vertical="center" wrapText="1"/>
    </xf>
    <xf numFmtId="0" fontId="27" fillId="14" borderId="18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43" fontId="25" fillId="3" borderId="25" xfId="0" applyNumberFormat="1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167" fontId="25" fillId="11" borderId="19" xfId="0" applyNumberFormat="1" applyFont="1" applyFill="1" applyBorder="1" applyAlignment="1">
      <alignment horizontal="center" vertical="center" wrapText="1"/>
    </xf>
    <xf numFmtId="43" fontId="25" fillId="11" borderId="19" xfId="0" applyNumberFormat="1" applyFont="1" applyFill="1" applyBorder="1" applyAlignment="1">
      <alignment horizontal="center" vertical="center" wrapText="1"/>
    </xf>
    <xf numFmtId="167" fontId="25" fillId="6" borderId="19" xfId="0" applyNumberFormat="1" applyFont="1" applyFill="1" applyBorder="1" applyAlignment="1">
      <alignment horizontal="center" vertical="center" wrapText="1"/>
    </xf>
    <xf numFmtId="167" fontId="25" fillId="12" borderId="19" xfId="0" applyNumberFormat="1" applyFont="1" applyFill="1" applyBorder="1" applyAlignment="1">
      <alignment horizontal="center" vertical="center" wrapText="1"/>
    </xf>
    <xf numFmtId="0" fontId="25" fillId="10" borderId="19" xfId="0" applyFont="1" applyFill="1" applyBorder="1" applyAlignment="1">
      <alignment horizontal="center" vertical="center" wrapText="1"/>
    </xf>
    <xf numFmtId="43" fontId="25" fillId="10" borderId="19" xfId="0" applyNumberFormat="1" applyFont="1" applyFill="1" applyBorder="1" applyAlignment="1">
      <alignment horizontal="center" vertical="center" wrapText="1"/>
    </xf>
    <xf numFmtId="164" fontId="25" fillId="11" borderId="19" xfId="0" applyNumberFormat="1" applyFont="1" applyFill="1" applyBorder="1" applyAlignment="1">
      <alignment horizontal="center" vertical="center" wrapText="1"/>
    </xf>
    <xf numFmtId="164" fontId="25" fillId="6" borderId="19" xfId="0" applyNumberFormat="1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7" fillId="13" borderId="18" xfId="0" applyFont="1" applyFill="1" applyBorder="1" applyAlignment="1">
      <alignment horizontal="center" vertical="center" wrapText="1"/>
    </xf>
    <xf numFmtId="0" fontId="25" fillId="6" borderId="19" xfId="0" applyFont="1" applyFill="1" applyBorder="1" applyAlignment="1">
      <alignment horizontal="left" vertical="center" wrapText="1"/>
    </xf>
    <xf numFmtId="0" fontId="34" fillId="0" borderId="0" xfId="0" applyFont="1"/>
    <xf numFmtId="0" fontId="35" fillId="17" borderId="18" xfId="0" applyFont="1" applyFill="1" applyBorder="1" applyAlignment="1">
      <alignment horizontal="left" vertical="top" wrapText="1"/>
    </xf>
    <xf numFmtId="0" fontId="35" fillId="11" borderId="18" xfId="0" applyFont="1" applyFill="1" applyBorder="1" applyAlignment="1">
      <alignment horizontal="left" vertical="top" wrapText="1"/>
    </xf>
    <xf numFmtId="0" fontId="35" fillId="3" borderId="18" xfId="0" applyFont="1" applyFill="1" applyBorder="1" applyAlignment="1">
      <alignment horizontal="left" vertical="top" wrapText="1"/>
    </xf>
    <xf numFmtId="0" fontId="35" fillId="10" borderId="18" xfId="0" applyFont="1" applyFill="1" applyBorder="1" applyAlignment="1">
      <alignment horizontal="left" vertical="top" wrapText="1"/>
    </xf>
    <xf numFmtId="0" fontId="35" fillId="8" borderId="18" xfId="0" applyFont="1" applyFill="1" applyBorder="1" applyAlignment="1">
      <alignment horizontal="left" vertical="top" wrapText="1"/>
    </xf>
    <xf numFmtId="0" fontId="35" fillId="6" borderId="18" xfId="0" applyFont="1" applyFill="1" applyBorder="1" applyAlignment="1">
      <alignment horizontal="left" vertical="top" wrapText="1"/>
    </xf>
    <xf numFmtId="0" fontId="36" fillId="5" borderId="18" xfId="0" applyFont="1" applyFill="1" applyBorder="1" applyAlignment="1">
      <alignment horizontal="center" vertical="center" wrapText="1"/>
    </xf>
    <xf numFmtId="0" fontId="37" fillId="6" borderId="19" xfId="0" applyFont="1" applyFill="1" applyBorder="1" applyAlignment="1">
      <alignment horizontal="center" vertical="center" wrapText="1"/>
    </xf>
    <xf numFmtId="164" fontId="38" fillId="8" borderId="18" xfId="0" applyNumberFormat="1" applyFont="1" applyFill="1" applyBorder="1" applyAlignment="1">
      <alignment horizontal="center" vertical="center" wrapText="1"/>
    </xf>
    <xf numFmtId="167" fontId="38" fillId="11" borderId="18" xfId="0" applyNumberFormat="1" applyFont="1" applyFill="1" applyBorder="1" applyAlignment="1">
      <alignment horizontal="center" vertical="center" wrapText="1"/>
    </xf>
    <xf numFmtId="165" fontId="25" fillId="11" borderId="19" xfId="0" applyNumberFormat="1" applyFont="1" applyFill="1" applyBorder="1" applyAlignment="1">
      <alignment horizontal="center" vertical="center" wrapText="1"/>
    </xf>
    <xf numFmtId="0" fontId="27" fillId="9" borderId="18" xfId="0" applyFont="1" applyFill="1" applyBorder="1" applyAlignment="1">
      <alignment horizontal="center" vertical="center" wrapText="1"/>
    </xf>
    <xf numFmtId="0" fontId="26" fillId="10" borderId="19" xfId="0" applyFont="1" applyFill="1" applyBorder="1" applyAlignment="1">
      <alignment horizontal="left" vertical="center" wrapText="1"/>
    </xf>
    <xf numFmtId="0" fontId="26" fillId="10" borderId="19" xfId="0" applyFont="1" applyFill="1" applyBorder="1" applyAlignment="1">
      <alignment horizontal="left" vertical="center" wrapText="1"/>
    </xf>
    <xf numFmtId="165" fontId="26" fillId="11" borderId="18" xfId="0" applyNumberFormat="1" applyFont="1" applyFill="1" applyBorder="1" applyAlignment="1">
      <alignment horizontal="center" vertical="center" wrapText="1"/>
    </xf>
    <xf numFmtId="1" fontId="26" fillId="18" borderId="18" xfId="0" applyNumberFormat="1" applyFont="1" applyFill="1" applyBorder="1" applyAlignment="1">
      <alignment horizontal="center" vertical="center" wrapText="1"/>
    </xf>
    <xf numFmtId="0" fontId="39" fillId="10" borderId="22" xfId="0" applyFont="1" applyFill="1" applyBorder="1" applyAlignment="1">
      <alignment wrapText="1"/>
    </xf>
    <xf numFmtId="0" fontId="39" fillId="10" borderId="23" xfId="0" applyFont="1" applyFill="1" applyBorder="1" applyAlignment="1">
      <alignment wrapText="1"/>
    </xf>
    <xf numFmtId="0" fontId="39" fillId="10" borderId="24" xfId="0" applyFont="1" applyFill="1" applyBorder="1" applyAlignment="1">
      <alignment wrapText="1"/>
    </xf>
    <xf numFmtId="9" fontId="25" fillId="6" borderId="19" xfId="0" applyNumberFormat="1" applyFont="1" applyFill="1" applyBorder="1" applyAlignment="1">
      <alignment horizontal="center" vertical="center" wrapText="1"/>
    </xf>
    <xf numFmtId="0" fontId="40" fillId="0" borderId="0" xfId="0" applyFont="1"/>
    <xf numFmtId="167" fontId="38" fillId="11" borderId="18" xfId="0" applyNumberFormat="1" applyFont="1" applyFill="1" applyBorder="1" applyAlignment="1">
      <alignment horizontal="center" vertical="center" wrapText="1"/>
    </xf>
    <xf numFmtId="167" fontId="38" fillId="15" borderId="18" xfId="0" applyNumberFormat="1" applyFont="1" applyFill="1" applyBorder="1" applyAlignment="1">
      <alignment horizontal="center" vertical="center" wrapText="1"/>
    </xf>
    <xf numFmtId="167" fontId="38" fillId="18" borderId="18" xfId="0" applyNumberFormat="1" applyFont="1" applyFill="1" applyBorder="1" applyAlignment="1">
      <alignment horizontal="center" vertical="center" wrapText="1"/>
    </xf>
    <xf numFmtId="1" fontId="38" fillId="10" borderId="18" xfId="0" applyNumberFormat="1" applyFont="1" applyFill="1" applyBorder="1" applyAlignment="1">
      <alignment horizontal="center" vertical="center" wrapText="1"/>
    </xf>
    <xf numFmtId="43" fontId="25" fillId="6" borderId="19" xfId="1" applyFont="1" applyFill="1" applyBorder="1" applyAlignment="1">
      <alignment horizontal="left" vertical="center" wrapText="1"/>
    </xf>
    <xf numFmtId="166" fontId="25" fillId="6" borderId="19" xfId="0" applyNumberFormat="1" applyFont="1" applyFill="1" applyBorder="1" applyAlignment="1">
      <alignment horizontal="left" vertical="center" wrapText="1"/>
    </xf>
    <xf numFmtId="0" fontId="38" fillId="7" borderId="18" xfId="0" applyFont="1" applyFill="1" applyBorder="1" applyAlignment="1">
      <alignment horizontal="center" vertical="center" wrapText="1"/>
    </xf>
    <xf numFmtId="0" fontId="41" fillId="19" borderId="3" xfId="0" applyFont="1" applyFill="1" applyBorder="1"/>
    <xf numFmtId="0" fontId="41" fillId="19" borderId="4" xfId="0" applyFont="1" applyFill="1" applyBorder="1"/>
    <xf numFmtId="0" fontId="32" fillId="0" borderId="6" xfId="0" applyFont="1" applyBorder="1"/>
    <xf numFmtId="0" fontId="32" fillId="0" borderId="7" xfId="0" applyFont="1" applyBorder="1"/>
    <xf numFmtId="0" fontId="32" fillId="0" borderId="9" xfId="0" applyFont="1" applyBorder="1"/>
    <xf numFmtId="0" fontId="32" fillId="0" borderId="10" xfId="0" applyFont="1" applyBorder="1"/>
    <xf numFmtId="0" fontId="32" fillId="0" borderId="12" xfId="0" applyFont="1" applyBorder="1"/>
    <xf numFmtId="0" fontId="32" fillId="0" borderId="13" xfId="0" applyFont="1" applyBorder="1"/>
    <xf numFmtId="0" fontId="41" fillId="19" borderId="5" xfId="0" applyFont="1" applyFill="1" applyBorder="1"/>
    <xf numFmtId="43" fontId="32" fillId="0" borderId="8" xfId="1" applyFont="1" applyBorder="1"/>
    <xf numFmtId="43" fontId="32" fillId="0" borderId="11" xfId="1" applyFont="1" applyBorder="1"/>
    <xf numFmtId="43" fontId="32" fillId="0" borderId="14" xfId="1" applyFont="1" applyBorder="1"/>
    <xf numFmtId="0" fontId="27" fillId="4" borderId="18" xfId="0" applyFont="1" applyFill="1" applyBorder="1" applyAlignment="1">
      <alignment horizontal="center" vertical="center" wrapText="1"/>
    </xf>
    <xf numFmtId="0" fontId="25" fillId="15" borderId="19" xfId="0" applyFont="1" applyFill="1" applyBorder="1" applyAlignment="1">
      <alignment horizontal="center" vertical="center" wrapText="1"/>
    </xf>
    <xf numFmtId="0" fontId="25" fillId="18" borderId="19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3" fillId="21" borderId="29" xfId="0" applyFont="1" applyFill="1" applyBorder="1" applyAlignment="1">
      <alignment horizontal="center" wrapText="1"/>
    </xf>
    <xf numFmtId="0" fontId="40" fillId="0" borderId="29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0" xfId="0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0" fillId="0" borderId="0" xfId="0" applyAlignment="1">
      <alignment horizontal="left"/>
    </xf>
    <xf numFmtId="0" fontId="22" fillId="22" borderId="29" xfId="0" applyFont="1" applyFill="1" applyBorder="1" applyAlignment="1">
      <alignment horizontal="center" vertical="center"/>
    </xf>
    <xf numFmtId="0" fontId="22" fillId="22" borderId="30" xfId="0" applyFont="1" applyFill="1" applyBorder="1" applyAlignment="1">
      <alignment horizontal="center" vertical="center"/>
    </xf>
    <xf numFmtId="0" fontId="22" fillId="22" borderId="31" xfId="0" applyFont="1" applyFill="1" applyBorder="1" applyAlignment="1">
      <alignment horizontal="center" vertical="center"/>
    </xf>
    <xf numFmtId="0" fontId="30" fillId="16" borderId="35" xfId="0" applyFont="1" applyFill="1" applyBorder="1" applyAlignment="1">
      <alignment horizontal="center" vertical="center" wrapText="1"/>
    </xf>
    <xf numFmtId="0" fontId="30" fillId="16" borderId="36" xfId="0" applyFont="1" applyFill="1" applyBorder="1" applyAlignment="1">
      <alignment horizontal="center" vertical="center" wrapText="1"/>
    </xf>
    <xf numFmtId="0" fontId="30" fillId="16" borderId="37" xfId="0" applyFont="1" applyFill="1" applyBorder="1" applyAlignment="1">
      <alignment horizontal="center" vertical="center" wrapText="1"/>
    </xf>
    <xf numFmtId="0" fontId="30" fillId="16" borderId="38" xfId="0" applyFont="1" applyFill="1" applyBorder="1" applyAlignment="1">
      <alignment horizontal="center" vertical="center" wrapText="1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39" xfId="0" applyFont="1" applyFill="1" applyBorder="1" applyAlignment="1">
      <alignment horizontal="center" vertical="center" wrapText="1"/>
    </xf>
    <xf numFmtId="0" fontId="30" fillId="16" borderId="40" xfId="0" applyFont="1" applyFill="1" applyBorder="1" applyAlignment="1">
      <alignment horizontal="center" vertical="center" wrapText="1"/>
    </xf>
    <xf numFmtId="0" fontId="30" fillId="16" borderId="41" xfId="0" applyFont="1" applyFill="1" applyBorder="1" applyAlignment="1">
      <alignment horizontal="center" vertical="center" wrapText="1"/>
    </xf>
    <xf numFmtId="0" fontId="30" fillId="16" borderId="42" xfId="0" applyFont="1" applyFill="1" applyBorder="1" applyAlignment="1">
      <alignment horizontal="center" vertical="center" wrapText="1"/>
    </xf>
    <xf numFmtId="0" fontId="33" fillId="9" borderId="35" xfId="0" applyFont="1" applyFill="1" applyBorder="1" applyAlignment="1">
      <alignment horizontal="center" vertical="center" wrapText="1"/>
    </xf>
    <xf numFmtId="0" fontId="33" fillId="9" borderId="36" xfId="0" applyFont="1" applyFill="1" applyBorder="1" applyAlignment="1">
      <alignment horizontal="center" vertical="center" wrapText="1"/>
    </xf>
    <xf numFmtId="0" fontId="33" fillId="9" borderId="37" xfId="0" applyFont="1" applyFill="1" applyBorder="1" applyAlignment="1">
      <alignment horizontal="center" vertical="center" wrapText="1"/>
    </xf>
    <xf numFmtId="0" fontId="33" fillId="9" borderId="38" xfId="0" applyFont="1" applyFill="1" applyBorder="1" applyAlignment="1">
      <alignment horizontal="center" vertical="center" wrapText="1"/>
    </xf>
    <xf numFmtId="0" fontId="33" fillId="9" borderId="34" xfId="0" applyFont="1" applyFill="1" applyBorder="1" applyAlignment="1">
      <alignment horizontal="center" vertical="center" wrapText="1"/>
    </xf>
    <xf numFmtId="0" fontId="33" fillId="9" borderId="39" xfId="0" applyFont="1" applyFill="1" applyBorder="1" applyAlignment="1">
      <alignment horizontal="center" vertical="center" wrapText="1"/>
    </xf>
    <xf numFmtId="0" fontId="33" fillId="9" borderId="40" xfId="0" applyFont="1" applyFill="1" applyBorder="1" applyAlignment="1">
      <alignment horizontal="center" vertical="center" wrapText="1"/>
    </xf>
    <xf numFmtId="0" fontId="33" fillId="9" borderId="41" xfId="0" applyFont="1" applyFill="1" applyBorder="1" applyAlignment="1">
      <alignment horizontal="center" vertical="center" wrapText="1"/>
    </xf>
    <xf numFmtId="0" fontId="33" fillId="9" borderId="42" xfId="0" applyFont="1" applyFill="1" applyBorder="1" applyAlignment="1">
      <alignment horizontal="center" vertical="center" wrapText="1"/>
    </xf>
    <xf numFmtId="0" fontId="30" fillId="15" borderId="35" xfId="0" applyFont="1" applyFill="1" applyBorder="1" applyAlignment="1">
      <alignment horizontal="center" vertical="center" wrapText="1"/>
    </xf>
    <xf numFmtId="0" fontId="30" fillId="15" borderId="36" xfId="0" applyFont="1" applyFill="1" applyBorder="1" applyAlignment="1">
      <alignment horizontal="center" vertical="center" wrapText="1"/>
    </xf>
    <xf numFmtId="0" fontId="30" fillId="15" borderId="37" xfId="0" applyFont="1" applyFill="1" applyBorder="1" applyAlignment="1">
      <alignment horizontal="center" vertical="center" wrapText="1"/>
    </xf>
    <xf numFmtId="0" fontId="30" fillId="15" borderId="38" xfId="0" applyFont="1" applyFill="1" applyBorder="1" applyAlignment="1">
      <alignment horizontal="center" vertical="center" wrapText="1"/>
    </xf>
    <xf numFmtId="0" fontId="30" fillId="15" borderId="34" xfId="0" applyFont="1" applyFill="1" applyBorder="1" applyAlignment="1">
      <alignment horizontal="center" vertical="center" wrapText="1"/>
    </xf>
    <xf numFmtId="0" fontId="30" fillId="15" borderId="39" xfId="0" applyFont="1" applyFill="1" applyBorder="1" applyAlignment="1">
      <alignment horizontal="center" vertical="center" wrapText="1"/>
    </xf>
    <xf numFmtId="0" fontId="30" fillId="15" borderId="40" xfId="0" applyFont="1" applyFill="1" applyBorder="1" applyAlignment="1">
      <alignment horizontal="center" vertical="center" wrapText="1"/>
    </xf>
    <xf numFmtId="0" fontId="30" fillId="15" borderId="41" xfId="0" applyFont="1" applyFill="1" applyBorder="1" applyAlignment="1">
      <alignment horizontal="center" vertical="center" wrapText="1"/>
    </xf>
    <xf numFmtId="0" fontId="30" fillId="15" borderId="42" xfId="0" applyFont="1" applyFill="1" applyBorder="1" applyAlignment="1">
      <alignment horizontal="center" vertical="center" wrapText="1"/>
    </xf>
    <xf numFmtId="0" fontId="30" fillId="10" borderId="35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0" fontId="30" fillId="10" borderId="37" xfId="0" applyFont="1" applyFill="1" applyBorder="1" applyAlignment="1">
      <alignment horizontal="center" vertical="center" wrapText="1"/>
    </xf>
    <xf numFmtId="0" fontId="30" fillId="10" borderId="38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39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42" xfId="0" applyFont="1" applyFill="1" applyBorder="1" applyAlignment="1">
      <alignment horizontal="center" vertical="center" wrapText="1"/>
    </xf>
    <xf numFmtId="9" fontId="26" fillId="11" borderId="18" xfId="0" applyNumberFormat="1" applyFont="1" applyFill="1" applyBorder="1" applyAlignment="1">
      <alignment horizontal="center" vertical="center" wrapText="1"/>
    </xf>
    <xf numFmtId="0" fontId="26" fillId="8" borderId="18" xfId="0" applyFont="1" applyFill="1" applyBorder="1" applyAlignment="1">
      <alignment horizontal="center" vertical="center" wrapText="1"/>
    </xf>
    <xf numFmtId="0" fontId="26" fillId="18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Millares" xfId="1" xr:uid="{00000000-0005-0000-0000-000000000000}"/>
    <cellStyle name="Normal" xfId="0" builtinId="0"/>
  </cellStyles>
  <dxfs count="11">
    <dxf>
      <fill>
        <patternFill>
          <bgColor rgb="FFF4CCCC"/>
        </patternFill>
      </fill>
    </dxf>
    <dxf>
      <fill>
        <patternFill>
          <bgColor rgb="FFC6EFCE"/>
        </patternFill>
      </fill>
    </dxf>
    <dxf>
      <font>
        <b/>
        <color rgb="FFFFFFFF"/>
      </font>
      <fill>
        <patternFill>
          <bgColor rgb="FF404040"/>
        </patternFill>
      </fill>
    </dxf>
    <dxf>
      <font>
        <b/>
      </font>
      <fill>
        <patternFill>
          <bgColor rgb="FFFFF200"/>
        </patternFill>
      </fill>
    </dxf>
    <dxf>
      <font>
        <b/>
      </font>
      <fill>
        <patternFill>
          <bgColor rgb="FFC6EF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ont>
        <b/>
        <color rgb="FFFFFFFF"/>
      </font>
      <fill>
        <patternFill>
          <bgColor rgb="FF404040"/>
        </patternFill>
      </fill>
    </dxf>
    <dxf>
      <font>
        <b/>
      </font>
      <fill>
        <patternFill>
          <bgColor rgb="FFFFC000"/>
        </patternFill>
      </fill>
    </dxf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FF2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PE"/>
              <a:t>Ingreso mensual por producto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</c:v>
          </c:tx>
          <c:invertIfNegative val="1"/>
          <c:cat>
            <c:strRef>
              <c:f>'Dashboard Ejecutivo'!$P$10:$P$19</c:f>
            </c:strRef>
          </c:cat>
          <c:val>
            <c:numRef>
              <c:f>'Dashboard Ejecutivo'!$Q$10:$Q$19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6-CC4D-A66B-9BD2E86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PE"/>
              <a:t>Composición estratégica del portafolio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N.º</c:v>
          </c:tx>
          <c:invertIfNegative val="1"/>
          <c:cat>
            <c:strRef>
              <c:f>'Dashboard Ejecutivo'!$P$3:$P$6</c:f>
              <c:strCache>
                <c:ptCount val="4"/>
                <c:pt idx="0">
                  <c:v>ESTRELLA</c:v>
                </c:pt>
                <c:pt idx="1">
                  <c:v>PAN</c:v>
                </c:pt>
                <c:pt idx="2">
                  <c:v>TORTA</c:v>
                </c:pt>
                <c:pt idx="3">
                  <c:v>LASTRE</c:v>
                </c:pt>
              </c:strCache>
            </c:strRef>
          </c:cat>
          <c:val>
            <c:numRef>
              <c:f>'Dashboard Ejecutivo'!$Q$3:$Q$6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A-CB44-AF4E-EDFC0FE14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1308100</xdr:colOff>
      <xdr:row>11</xdr:row>
      <xdr:rowOff>1206500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FC06D82-D87F-09C7-81B3-41B3DDE1A75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1308100</xdr:colOff>
      <xdr:row>11</xdr:row>
      <xdr:rowOff>1206500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C577821-8672-69D6-B372-500E0834CE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O ANTONIO CAMINO PRADO" id="{F6220A81-7EB9-7E4B-A825-F01FE28C1E0F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6-30T00:17:41.53" personId="{F6220A81-7EB9-7E4B-A825-F01FE28C1E0F}" id="{41E6FDF1-C182-C34A-8B25-1A07553207E2}">
    <text>INGRESAR : La puntuación de acuerdo a los criterios descritos lineas abajo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topLeftCell="A13" workbookViewId="0">
      <selection activeCell="I18" sqref="A1:I18"/>
    </sheetView>
  </sheetViews>
  <sheetFormatPr baseColWidth="10" defaultRowHeight="16" x14ac:dyDescent="0.2"/>
  <cols>
    <col min="1" max="1" width="10.5" style="1" customWidth="1"/>
    <col min="2" max="2" width="20" style="77" customWidth="1"/>
    <col min="3" max="3" width="52" style="1" customWidth="1"/>
    <col min="4" max="4" width="13" style="1" customWidth="1"/>
    <col min="5" max="9" width="18" customWidth="1"/>
    <col min="10" max="16384" width="10.83203125" style="1"/>
  </cols>
  <sheetData>
    <row r="1" spans="1:9" ht="67.75" customHeight="1" x14ac:dyDescent="0.2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9" ht="44.25" customHeight="1" x14ac:dyDescent="0.2">
      <c r="A2" s="25" t="s">
        <v>1</v>
      </c>
      <c r="B2" s="75"/>
      <c r="C2" s="25"/>
      <c r="D2" s="25"/>
      <c r="E2" s="25"/>
      <c r="F2" s="25"/>
      <c r="G2" s="50" t="s">
        <v>2</v>
      </c>
      <c r="H2" s="51"/>
      <c r="I2" s="52"/>
    </row>
    <row r="3" spans="1:9" s="2" customFormat="1" ht="26" x14ac:dyDescent="0.3">
      <c r="B3" s="9" t="s">
        <v>3</v>
      </c>
      <c r="C3" s="9" t="s">
        <v>4</v>
      </c>
      <c r="D3" s="9" t="s">
        <v>5</v>
      </c>
      <c r="E3" s="9">
        <v>1</v>
      </c>
      <c r="F3" s="9">
        <v>2</v>
      </c>
      <c r="G3" s="9">
        <v>3</v>
      </c>
      <c r="H3" s="9">
        <v>4</v>
      </c>
      <c r="I3" s="9">
        <v>5</v>
      </c>
    </row>
    <row r="4" spans="1:9" s="3" customFormat="1" ht="96" customHeight="1" x14ac:dyDescent="0.2">
      <c r="B4" s="76" t="s">
        <v>6</v>
      </c>
      <c r="C4" s="72" t="s">
        <v>7</v>
      </c>
      <c r="D4" s="10"/>
      <c r="E4" s="71" t="s">
        <v>8</v>
      </c>
      <c r="F4" s="71" t="s">
        <v>9</v>
      </c>
      <c r="G4" s="71" t="s">
        <v>10</v>
      </c>
      <c r="H4" s="71" t="s">
        <v>11</v>
      </c>
      <c r="I4" s="71" t="s">
        <v>12</v>
      </c>
    </row>
    <row r="5" spans="1:9" s="3" customFormat="1" ht="96" customHeight="1" x14ac:dyDescent="0.2">
      <c r="B5" s="76" t="s">
        <v>13</v>
      </c>
      <c r="C5" s="72" t="s">
        <v>14</v>
      </c>
      <c r="D5" s="10"/>
      <c r="E5" s="71" t="s">
        <v>15</v>
      </c>
      <c r="F5" s="71" t="s">
        <v>16</v>
      </c>
      <c r="G5" s="71" t="s">
        <v>17</v>
      </c>
      <c r="H5" s="71" t="s">
        <v>18</v>
      </c>
      <c r="I5" s="71" t="s">
        <v>19</v>
      </c>
    </row>
    <row r="6" spans="1:9" s="3" customFormat="1" ht="96" customHeight="1" x14ac:dyDescent="0.2">
      <c r="B6" s="76" t="s">
        <v>20</v>
      </c>
      <c r="C6" s="72" t="s">
        <v>21</v>
      </c>
      <c r="D6" s="10"/>
      <c r="E6" s="71" t="s">
        <v>22</v>
      </c>
      <c r="F6" s="71" t="s">
        <v>23</v>
      </c>
      <c r="G6" s="71" t="s">
        <v>24</v>
      </c>
      <c r="H6" s="71" t="s">
        <v>25</v>
      </c>
      <c r="I6" s="71" t="s">
        <v>26</v>
      </c>
    </row>
    <row r="7" spans="1:9" s="3" customFormat="1" ht="96" customHeight="1" x14ac:dyDescent="0.2">
      <c r="B7" s="76" t="s">
        <v>27</v>
      </c>
      <c r="C7" s="72" t="s">
        <v>28</v>
      </c>
      <c r="D7" s="10"/>
      <c r="E7" s="71" t="s">
        <v>29</v>
      </c>
      <c r="F7" s="71" t="s">
        <v>30</v>
      </c>
      <c r="G7" s="71" t="s">
        <v>31</v>
      </c>
      <c r="H7" s="71" t="s">
        <v>32</v>
      </c>
      <c r="I7" s="71" t="s">
        <v>33</v>
      </c>
    </row>
    <row r="8" spans="1:9" s="3" customFormat="1" ht="96" customHeight="1" x14ac:dyDescent="0.2">
      <c r="B8" s="76" t="s">
        <v>34</v>
      </c>
      <c r="C8" s="72" t="s">
        <v>35</v>
      </c>
      <c r="D8" s="10"/>
      <c r="E8" s="71" t="s">
        <v>36</v>
      </c>
      <c r="F8" s="71" t="s">
        <v>37</v>
      </c>
      <c r="G8" s="71" t="s">
        <v>38</v>
      </c>
      <c r="H8" s="71" t="s">
        <v>39</v>
      </c>
      <c r="I8" s="71" t="s">
        <v>40</v>
      </c>
    </row>
    <row r="9" spans="1:9" s="3" customFormat="1" ht="96" customHeight="1" x14ac:dyDescent="0.2">
      <c r="B9" s="76" t="s">
        <v>41</v>
      </c>
      <c r="C9" s="72" t="s">
        <v>42</v>
      </c>
      <c r="D9" s="10"/>
      <c r="E9" s="71" t="s">
        <v>43</v>
      </c>
      <c r="F9" s="71" t="s">
        <v>44</v>
      </c>
      <c r="G9" s="71" t="s">
        <v>45</v>
      </c>
      <c r="H9" s="71" t="s">
        <v>46</v>
      </c>
      <c r="I9" s="71" t="s">
        <v>47</v>
      </c>
    </row>
    <row r="10" spans="1:9" s="3" customFormat="1" ht="96" customHeight="1" x14ac:dyDescent="0.2">
      <c r="B10" s="76" t="s">
        <v>48</v>
      </c>
      <c r="C10" s="72" t="s">
        <v>49</v>
      </c>
      <c r="D10" s="10"/>
      <c r="E10" s="71" t="s">
        <v>50</v>
      </c>
      <c r="F10" s="71" t="s">
        <v>51</v>
      </c>
      <c r="G10" s="71" t="s">
        <v>52</v>
      </c>
      <c r="H10" s="71" t="s">
        <v>53</v>
      </c>
      <c r="I10" s="71" t="s">
        <v>54</v>
      </c>
    </row>
    <row r="11" spans="1:9" s="3" customFormat="1" ht="96" customHeight="1" x14ac:dyDescent="0.2">
      <c r="B11" s="76" t="s">
        <v>55</v>
      </c>
      <c r="C11" s="72" t="s">
        <v>56</v>
      </c>
      <c r="D11" s="10"/>
      <c r="E11" s="71" t="s">
        <v>57</v>
      </c>
      <c r="F11" s="71" t="s">
        <v>58</v>
      </c>
      <c r="G11" s="71" t="s">
        <v>59</v>
      </c>
      <c r="H11" s="71" t="s">
        <v>60</v>
      </c>
      <c r="I11" s="71" t="s">
        <v>61</v>
      </c>
    </row>
    <row r="12" spans="1:9" s="3" customFormat="1" ht="96" customHeight="1" x14ac:dyDescent="0.2">
      <c r="B12" s="76" t="s">
        <v>62</v>
      </c>
      <c r="C12" s="72" t="s">
        <v>63</v>
      </c>
      <c r="D12" s="10"/>
      <c r="E12" s="71" t="s">
        <v>64</v>
      </c>
      <c r="F12" s="71" t="s">
        <v>65</v>
      </c>
      <c r="G12" s="71" t="s">
        <v>66</v>
      </c>
      <c r="H12" s="71" t="s">
        <v>67</v>
      </c>
      <c r="I12" s="71" t="s">
        <v>68</v>
      </c>
    </row>
    <row r="13" spans="1:9" s="2" customFormat="1" ht="105" customHeight="1" x14ac:dyDescent="0.3">
      <c r="B13" s="73" t="s">
        <v>69</v>
      </c>
      <c r="C13" s="74" t="str">
        <f>IF(COUNT(D4:D12)&lt;9,"Completa las 9 respuestas",IF(D13&lt;=16,"Portafolio relativamente sano",IF(D13&lt;=24,"Flujo vulnerable",IF(D13&lt;=32,"Dependencia de ventas esporádicas","Modelo comercial frágil"))))</f>
        <v>Completa las 9 respuestas</v>
      </c>
      <c r="D13" s="11" t="str">
        <f>IF(COUNT(D4:D12)=0,"",SUM(D4:D12))</f>
        <v/>
      </c>
    </row>
    <row r="14" spans="1:9" ht="38" x14ac:dyDescent="0.2">
      <c r="B14" s="78" t="s">
        <v>70</v>
      </c>
      <c r="C14" s="79" t="str">
        <f>IF(COUNT(D4:D12)&lt;9,"Completa el diagnóstico antes de decidir",IF(D13&lt;=16,"Protege lo que funciona y diseña un siguiente nivel de crecimiento",IF(D13&lt;=24,"Diseña al menos un producto PAN que estabilice la entrada de clientes",IF(D13&lt;=32,"Reduce concentración, simplifica la compra y crea recurrencia","Rediseña el portafolio: hoy el negocio depende de cierres aislados y del fundador"))))</f>
        <v>Completa el diagnóstico antes de decidir</v>
      </c>
      <c r="D14" s="79"/>
      <c r="E14" s="79"/>
      <c r="F14" s="79"/>
      <c r="G14" s="79"/>
      <c r="H14" s="79"/>
      <c r="I14" s="79"/>
    </row>
    <row r="16" spans="1:9" ht="38" x14ac:dyDescent="0.2">
      <c r="B16" s="73" t="s">
        <v>71</v>
      </c>
      <c r="C16" s="73" t="s">
        <v>72</v>
      </c>
      <c r="D16" s="73" t="s">
        <v>73</v>
      </c>
      <c r="E16" s="73" t="s">
        <v>74</v>
      </c>
      <c r="F16" s="73" t="s">
        <v>75</v>
      </c>
    </row>
    <row r="17" spans="2:6" ht="57" x14ac:dyDescent="0.2">
      <c r="B17" s="76" t="s">
        <v>76</v>
      </c>
      <c r="C17" s="76" t="s">
        <v>77</v>
      </c>
      <c r="D17" s="76" t="s">
        <v>78</v>
      </c>
      <c r="E17" s="76" t="s">
        <v>79</v>
      </c>
      <c r="F17" s="76" t="s">
        <v>80</v>
      </c>
    </row>
    <row r="18" spans="2:6" ht="38" x14ac:dyDescent="0.2">
      <c r="B18" s="76" t="s">
        <v>81</v>
      </c>
      <c r="C18" s="76" t="s">
        <v>82</v>
      </c>
      <c r="D18" s="76" t="s">
        <v>83</v>
      </c>
      <c r="E18" s="76" t="s">
        <v>84</v>
      </c>
      <c r="F18" s="76" t="s">
        <v>85</v>
      </c>
    </row>
  </sheetData>
  <mergeCells count="3">
    <mergeCell ref="A1:I1"/>
    <mergeCell ref="G2:I2"/>
    <mergeCell ref="C14:I14"/>
  </mergeCells>
  <conditionalFormatting sqref="D4:D11">
    <cfRule type="colorScale" priority="3">
      <colorScale>
        <cfvo type="num" val="0"/>
        <cfvo type="num" val="5"/>
        <color theme="9"/>
        <color theme="5"/>
      </colorScale>
    </cfRule>
  </conditionalFormatting>
  <conditionalFormatting sqref="D12">
    <cfRule type="colorScale" priority="2">
      <colorScale>
        <cfvo type="num" val="0"/>
        <cfvo type="num" val="5"/>
        <color rgb="FFFF7128"/>
        <color theme="9"/>
      </colorScale>
    </cfRule>
  </conditionalFormatting>
  <conditionalFormatting sqref="D13">
    <cfRule type="colorScale" priority="1">
      <colorScale>
        <cfvo type="num" val="7"/>
        <cfvo type="num" val="39"/>
        <color theme="9"/>
        <color rgb="FFFF0000"/>
      </colorScale>
    </cfRule>
  </conditionalFormatting>
  <dataValidations count="1">
    <dataValidation type="list" sqref="D4:D12" xr:uid="{00000000-0002-0000-0000-000000000000}">
      <formula1>"1,2,3,4,5"</formula1>
    </dataValidation>
  </dataValidations>
  <pageMargins left="0.25" right="0.25" top="0.75" bottom="0.75" header="0.3" footer="0.3"/>
  <pageSetup paperSize="9" scale="50" orientation="portrait" horizontalDpi="0" verticalDpi="0" copies="7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"/>
  <sheetViews>
    <sheetView zoomScale="75" workbookViewId="0">
      <selection activeCell="M16" sqref="A1:M16"/>
    </sheetView>
  </sheetViews>
  <sheetFormatPr baseColWidth="10" defaultColWidth="8.83203125" defaultRowHeight="16" x14ac:dyDescent="0.2"/>
  <cols>
    <col min="1" max="1" width="7" customWidth="1"/>
    <col min="2" max="2" width="26" customWidth="1"/>
    <col min="3" max="5" width="14" customWidth="1"/>
    <col min="6" max="6" width="17.6640625" customWidth="1"/>
    <col min="7" max="8" width="14" customWidth="1"/>
    <col min="9" max="9" width="20" customWidth="1"/>
    <col min="10" max="10" width="14.6640625" bestFit="1" customWidth="1"/>
    <col min="11" max="11" width="16" customWidth="1"/>
    <col min="12" max="13" width="24" customWidth="1"/>
  </cols>
  <sheetData>
    <row r="1" spans="1:13" ht="67.75" customHeight="1" x14ac:dyDescent="0.2">
      <c r="A1" s="49" t="s">
        <v>86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44.25" customHeight="1" x14ac:dyDescent="0.2">
      <c r="A2" s="80" t="s">
        <v>87</v>
      </c>
      <c r="B2" s="80"/>
      <c r="C2" s="80"/>
      <c r="D2" s="80"/>
      <c r="E2" s="80"/>
      <c r="F2" s="80"/>
      <c r="G2" s="80"/>
      <c r="H2" s="80"/>
      <c r="I2" s="80"/>
      <c r="J2" s="80"/>
      <c r="K2" s="81" t="s">
        <v>88</v>
      </c>
      <c r="L2" s="82"/>
      <c r="M2" s="83"/>
    </row>
    <row r="3" spans="1:13" ht="18" x14ac:dyDescent="0.2">
      <c r="A3" s="84" t="s">
        <v>89</v>
      </c>
      <c r="B3" s="84"/>
      <c r="C3" s="84"/>
      <c r="D3" s="84" t="s">
        <v>90</v>
      </c>
      <c r="E3" s="84"/>
      <c r="F3" s="84"/>
      <c r="G3" s="84" t="s">
        <v>91</v>
      </c>
      <c r="H3" s="84"/>
      <c r="I3" s="84"/>
      <c r="J3" s="84" t="s">
        <v>92</v>
      </c>
      <c r="K3" s="84"/>
      <c r="L3" s="84"/>
      <c r="M3" s="84"/>
    </row>
    <row r="4" spans="1:13" ht="25" x14ac:dyDescent="0.2">
      <c r="A4" s="96">
        <f>SUM(E6:E15)</f>
        <v>0</v>
      </c>
      <c r="B4" s="96"/>
      <c r="C4" s="96"/>
      <c r="D4" s="97">
        <f>IFERROR(MAX(J6:J15),0)</f>
        <v>0</v>
      </c>
      <c r="E4" s="97"/>
      <c r="F4" s="97"/>
      <c r="G4" s="98">
        <f>COUNTIF(F6:F15,"Sí")</f>
        <v>0</v>
      </c>
      <c r="H4" s="98"/>
      <c r="I4" s="98"/>
      <c r="J4" s="99">
        <f>SUM(H6:H15)</f>
        <v>0</v>
      </c>
      <c r="K4" s="99"/>
      <c r="L4" s="99"/>
      <c r="M4" s="99"/>
    </row>
    <row r="5" spans="1:13" ht="49.75" customHeight="1" x14ac:dyDescent="0.2">
      <c r="A5" s="73" t="s">
        <v>93</v>
      </c>
      <c r="B5" s="73" t="s">
        <v>94</v>
      </c>
      <c r="C5" s="73" t="s">
        <v>95</v>
      </c>
      <c r="D5" s="73" t="s">
        <v>96</v>
      </c>
      <c r="E5" s="73" t="s">
        <v>97</v>
      </c>
      <c r="F5" s="73" t="s">
        <v>98</v>
      </c>
      <c r="G5" s="73" t="s">
        <v>99</v>
      </c>
      <c r="H5" s="73" t="s">
        <v>100</v>
      </c>
      <c r="I5" s="73" t="s">
        <v>101</v>
      </c>
      <c r="J5" s="73" t="s">
        <v>102</v>
      </c>
      <c r="K5" s="73" t="s">
        <v>103</v>
      </c>
      <c r="L5" s="73" t="s">
        <v>104</v>
      </c>
      <c r="M5" s="73" t="s">
        <v>105</v>
      </c>
    </row>
    <row r="6" spans="1:13" ht="49.75" customHeight="1" x14ac:dyDescent="0.2">
      <c r="A6" s="87">
        <v>1</v>
      </c>
      <c r="B6" s="88"/>
      <c r="C6" s="89"/>
      <c r="D6" s="88"/>
      <c r="E6" s="90" t="str">
        <f t="shared" ref="E6:E15" si="0">IF(OR(C6="",D6=""),"",C6*D6)</f>
        <v/>
      </c>
      <c r="F6" s="91"/>
      <c r="G6" s="91"/>
      <c r="H6" s="92" t="str">
        <f t="shared" ref="H6:H15" si="1">IF(OR(D6="",G6=""),"",D6*G6)</f>
        <v/>
      </c>
      <c r="I6" s="88"/>
      <c r="J6" s="93">
        <f t="shared" ref="J6:J15" si="2">IFERROR(E6/SUM($E$6:$E$15),0)</f>
        <v>0</v>
      </c>
      <c r="K6" s="88"/>
      <c r="L6" s="88"/>
      <c r="M6" s="88"/>
    </row>
    <row r="7" spans="1:13" ht="49.75" customHeight="1" x14ac:dyDescent="0.2">
      <c r="A7" s="87">
        <v>2</v>
      </c>
      <c r="B7" s="88"/>
      <c r="C7" s="89"/>
      <c r="D7" s="88"/>
      <c r="E7" s="90" t="str">
        <f t="shared" si="0"/>
        <v/>
      </c>
      <c r="F7" s="91"/>
      <c r="G7" s="91"/>
      <c r="H7" s="92" t="str">
        <f t="shared" si="1"/>
        <v/>
      </c>
      <c r="I7" s="88"/>
      <c r="J7" s="93">
        <f t="shared" si="2"/>
        <v>0</v>
      </c>
      <c r="K7" s="88"/>
      <c r="L7" s="88"/>
      <c r="M7" s="88"/>
    </row>
    <row r="8" spans="1:13" ht="49.75" customHeight="1" x14ac:dyDescent="0.2">
      <c r="A8" s="87">
        <v>3</v>
      </c>
      <c r="B8" s="88"/>
      <c r="C8" s="89"/>
      <c r="D8" s="88"/>
      <c r="E8" s="90" t="str">
        <f t="shared" si="0"/>
        <v/>
      </c>
      <c r="F8" s="91"/>
      <c r="G8" s="91"/>
      <c r="H8" s="92" t="str">
        <f t="shared" si="1"/>
        <v/>
      </c>
      <c r="I8" s="88"/>
      <c r="J8" s="93">
        <f t="shared" si="2"/>
        <v>0</v>
      </c>
      <c r="K8" s="88"/>
      <c r="L8" s="88"/>
      <c r="M8" s="88"/>
    </row>
    <row r="9" spans="1:13" ht="49.75" customHeight="1" x14ac:dyDescent="0.2">
      <c r="A9" s="87">
        <v>4</v>
      </c>
      <c r="B9" s="88"/>
      <c r="C9" s="89"/>
      <c r="D9" s="88"/>
      <c r="E9" s="90" t="str">
        <f t="shared" si="0"/>
        <v/>
      </c>
      <c r="F9" s="91"/>
      <c r="G9" s="91"/>
      <c r="H9" s="92" t="str">
        <f t="shared" si="1"/>
        <v/>
      </c>
      <c r="I9" s="88"/>
      <c r="J9" s="93">
        <f t="shared" si="2"/>
        <v>0</v>
      </c>
      <c r="K9" s="88"/>
      <c r="L9" s="88"/>
      <c r="M9" s="88"/>
    </row>
    <row r="10" spans="1:13" ht="49.75" customHeight="1" x14ac:dyDescent="0.2">
      <c r="A10" s="87">
        <v>5</v>
      </c>
      <c r="B10" s="88"/>
      <c r="C10" s="89"/>
      <c r="D10" s="88"/>
      <c r="E10" s="90" t="str">
        <f t="shared" si="0"/>
        <v/>
      </c>
      <c r="F10" s="91"/>
      <c r="G10" s="91"/>
      <c r="H10" s="92" t="str">
        <f t="shared" si="1"/>
        <v/>
      </c>
      <c r="I10" s="88"/>
      <c r="J10" s="93">
        <f t="shared" si="2"/>
        <v>0</v>
      </c>
      <c r="K10" s="88"/>
      <c r="L10" s="88"/>
      <c r="M10" s="88"/>
    </row>
    <row r="11" spans="1:13" ht="49.75" customHeight="1" x14ac:dyDescent="0.2">
      <c r="A11" s="87">
        <v>6</v>
      </c>
      <c r="B11" s="88"/>
      <c r="C11" s="89"/>
      <c r="D11" s="88"/>
      <c r="E11" s="90" t="str">
        <f t="shared" si="0"/>
        <v/>
      </c>
      <c r="F11" s="91"/>
      <c r="G11" s="91"/>
      <c r="H11" s="92" t="str">
        <f t="shared" si="1"/>
        <v/>
      </c>
      <c r="I11" s="88"/>
      <c r="J11" s="93">
        <f t="shared" si="2"/>
        <v>0</v>
      </c>
      <c r="K11" s="88"/>
      <c r="L11" s="88"/>
      <c r="M11" s="88"/>
    </row>
    <row r="12" spans="1:13" ht="49.75" customHeight="1" x14ac:dyDescent="0.2">
      <c r="A12" s="87">
        <v>7</v>
      </c>
      <c r="B12" s="88"/>
      <c r="C12" s="89"/>
      <c r="D12" s="88"/>
      <c r="E12" s="90" t="str">
        <f t="shared" si="0"/>
        <v/>
      </c>
      <c r="F12" s="91"/>
      <c r="G12" s="91"/>
      <c r="H12" s="92" t="str">
        <f t="shared" si="1"/>
        <v/>
      </c>
      <c r="I12" s="88"/>
      <c r="J12" s="93">
        <f t="shared" si="2"/>
        <v>0</v>
      </c>
      <c r="K12" s="88"/>
      <c r="L12" s="88"/>
      <c r="M12" s="88"/>
    </row>
    <row r="13" spans="1:13" ht="49.75" customHeight="1" x14ac:dyDescent="0.2">
      <c r="A13" s="87">
        <v>8</v>
      </c>
      <c r="B13" s="88"/>
      <c r="C13" s="89"/>
      <c r="D13" s="88"/>
      <c r="E13" s="90" t="str">
        <f t="shared" si="0"/>
        <v/>
      </c>
      <c r="F13" s="91"/>
      <c r="G13" s="91"/>
      <c r="H13" s="92" t="str">
        <f t="shared" si="1"/>
        <v/>
      </c>
      <c r="I13" s="88"/>
      <c r="J13" s="93">
        <f t="shared" si="2"/>
        <v>0</v>
      </c>
      <c r="K13" s="88"/>
      <c r="L13" s="88"/>
      <c r="M13" s="88"/>
    </row>
    <row r="14" spans="1:13" ht="49.75" customHeight="1" x14ac:dyDescent="0.2">
      <c r="A14" s="87">
        <v>9</v>
      </c>
      <c r="B14" s="88"/>
      <c r="C14" s="89"/>
      <c r="D14" s="88"/>
      <c r="E14" s="90" t="str">
        <f t="shared" si="0"/>
        <v/>
      </c>
      <c r="F14" s="91"/>
      <c r="G14" s="91"/>
      <c r="H14" s="92" t="str">
        <f t="shared" si="1"/>
        <v/>
      </c>
      <c r="I14" s="88"/>
      <c r="J14" s="93">
        <f t="shared" si="2"/>
        <v>0</v>
      </c>
      <c r="K14" s="88"/>
      <c r="L14" s="88"/>
      <c r="M14" s="88"/>
    </row>
    <row r="15" spans="1:13" ht="49.75" customHeight="1" x14ac:dyDescent="0.2">
      <c r="A15" s="87">
        <v>10</v>
      </c>
      <c r="B15" s="88"/>
      <c r="C15" s="89"/>
      <c r="D15" s="88"/>
      <c r="E15" s="90" t="str">
        <f t="shared" si="0"/>
        <v/>
      </c>
      <c r="F15" s="91"/>
      <c r="G15" s="91"/>
      <c r="H15" s="92" t="str">
        <f t="shared" si="1"/>
        <v/>
      </c>
      <c r="I15" s="88"/>
      <c r="J15" s="93">
        <f t="shared" si="2"/>
        <v>0</v>
      </c>
      <c r="K15" s="88"/>
      <c r="L15" s="88"/>
      <c r="M15" s="88"/>
    </row>
    <row r="16" spans="1:13" ht="53.25" customHeight="1" x14ac:dyDescent="0.2">
      <c r="A16" s="100" t="s">
        <v>109</v>
      </c>
      <c r="B16" s="78"/>
      <c r="C16" s="78"/>
      <c r="D16" s="78"/>
      <c r="E16" s="94">
        <f>SUM(E6:E15)</f>
        <v>0</v>
      </c>
      <c r="F16" s="78"/>
      <c r="G16" s="78"/>
      <c r="H16" s="78">
        <f>SUM(H6:H15)</f>
        <v>0</v>
      </c>
      <c r="I16" s="78"/>
      <c r="J16" s="95">
        <f>SUM(J6:J15)</f>
        <v>0</v>
      </c>
      <c r="K16" s="78"/>
      <c r="L16" s="78"/>
      <c r="M16" s="78"/>
    </row>
  </sheetData>
  <mergeCells count="10">
    <mergeCell ref="A4:C4"/>
    <mergeCell ref="D4:F4"/>
    <mergeCell ref="G4:I4"/>
    <mergeCell ref="J4:M4"/>
    <mergeCell ref="A1:M1"/>
    <mergeCell ref="K2:M2"/>
    <mergeCell ref="A3:C3"/>
    <mergeCell ref="D3:F3"/>
    <mergeCell ref="G3:I3"/>
    <mergeCell ref="J3:M3"/>
  </mergeCells>
  <conditionalFormatting sqref="J6:J15">
    <cfRule type="dataBar" priority="1">
      <dataBar>
        <cfvo type="min"/>
        <cfvo type="max"/>
        <color rgb="FF21A9D6"/>
      </dataBar>
    </cfRule>
    <cfRule type="dataBar" priority="2">
      <dataBar>
        <cfvo type="min"/>
        <cfvo type="max"/>
        <color rgb="FF21A9D6"/>
      </dataBar>
    </cfRule>
    <cfRule type="dataBar" priority="3">
      <dataBar>
        <cfvo type="min"/>
        <cfvo type="max"/>
        <color rgb="FF21A9D6"/>
      </dataBar>
      <extLst>
        <ext xmlns:x14="http://schemas.microsoft.com/office/spreadsheetml/2009/9/main" uri="{B025F937-C7B1-47D3-B67F-A62EFF666E3E}">
          <x14:id>{861233C8-17BE-0C14-FF4B-FD8253708B89}</x14:id>
        </ext>
      </extLst>
    </cfRule>
  </conditionalFormatting>
  <dataValidations count="2">
    <dataValidation type="list" sqref="F6:F15" xr:uid="{00000000-0002-0000-0100-000000000000}">
      <formula1>"Sí,No"</formula1>
    </dataValidation>
    <dataValidation type="list" sqref="K6:K15" xr:uid="{00000000-0002-0000-0100-000001000000}">
      <formula1>"PAN,TORTA,ESTRELLA,LASTRE,NO SÉ"</formula1>
    </dataValidation>
  </dataValidations>
  <pageMargins left="0.25" right="0.25" top="0.75" bottom="0.75" header="0.3" footer="0.3"/>
  <pageSetup paperSize="9" scale="61" orientation="landscape" horizontalDpi="0" verticalDpi="0" copies="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233C8-17BE-0C14-FF4B-FD8253708B89}">
            <x14:dataBar>
              <x14:cfvo type="min"/>
              <x14:cfvo type="max"/>
              <x14:negativeFillColor auto="1"/>
              <x14:axisColor auto="1"/>
            </x14:dataBar>
          </x14:cfRule>
          <xm:sqref>J6:J15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2"/>
  <sheetViews>
    <sheetView topLeftCell="A15" workbookViewId="0">
      <selection activeCell="J22" sqref="A1:J22"/>
    </sheetView>
  </sheetViews>
  <sheetFormatPr baseColWidth="10" defaultColWidth="8.83203125" defaultRowHeight="16" x14ac:dyDescent="0.2"/>
  <cols>
    <col min="1" max="1" width="5" customWidth="1"/>
    <col min="2" max="2" width="26" customWidth="1"/>
    <col min="3" max="4" width="30" customWidth="1"/>
    <col min="5" max="7" width="16" customWidth="1"/>
    <col min="8" max="8" width="10" customWidth="1"/>
    <col min="9" max="9" width="20" customWidth="1"/>
    <col min="10" max="10" width="30" customWidth="1"/>
  </cols>
  <sheetData>
    <row r="1" spans="1:10" ht="67.75" customHeight="1" x14ac:dyDescent="0.2">
      <c r="A1" s="49" t="s">
        <v>135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44.25" customHeight="1" x14ac:dyDescent="0.2">
      <c r="A2" s="80" t="s">
        <v>136</v>
      </c>
      <c r="B2" s="8"/>
      <c r="C2" s="8"/>
      <c r="D2" s="8"/>
      <c r="E2" s="8"/>
      <c r="F2" s="8"/>
      <c r="G2" s="8"/>
      <c r="H2" s="50" t="s">
        <v>137</v>
      </c>
      <c r="I2" s="51"/>
      <c r="J2" s="52"/>
    </row>
    <row r="4" spans="1:10" ht="60.25" customHeight="1" x14ac:dyDescent="0.2">
      <c r="A4" s="101" t="s">
        <v>93</v>
      </c>
      <c r="B4" s="101" t="s">
        <v>94</v>
      </c>
      <c r="C4" s="101" t="s">
        <v>138</v>
      </c>
      <c r="D4" s="101" t="s">
        <v>139</v>
      </c>
      <c r="E4" s="101" t="s">
        <v>140</v>
      </c>
      <c r="F4" s="101" t="s">
        <v>141</v>
      </c>
      <c r="G4" s="101" t="s">
        <v>142</v>
      </c>
      <c r="H4" s="101" t="s">
        <v>109</v>
      </c>
      <c r="I4" s="101" t="s">
        <v>143</v>
      </c>
      <c r="J4" s="101" t="s">
        <v>144</v>
      </c>
    </row>
    <row r="5" spans="1:10" ht="60.25" customHeight="1" x14ac:dyDescent="0.2">
      <c r="A5" s="12">
        <v>1</v>
      </c>
      <c r="B5" s="12" t="str">
        <f>IF('Inventario del Portafolio'!B6="","",'Inventario del Portafolio'!B6)</f>
        <v/>
      </c>
      <c r="C5" s="10"/>
      <c r="D5" s="10"/>
      <c r="E5" s="10"/>
      <c r="F5" s="10"/>
      <c r="G5" s="10"/>
      <c r="H5" s="14" t="str">
        <f t="shared" ref="H5:H14" si="0">IF(COUNT(C5:G5)&lt;5,"",SUM(C5:G5))</f>
        <v/>
      </c>
      <c r="I5" s="14" t="str">
        <f t="shared" ref="I5:I14" si="1">IF(B5="","",IF(H5="","Completa puntajes",IF(H5&lt;=10,"No funciona como PAN",IF(H5&lt;=15,"PAN débil",IF(H5&lt;=20,"Buen PAN","Excelente PAN")))))</f>
        <v/>
      </c>
      <c r="J5" s="14" t="str">
        <f t="shared" ref="J5:J14" si="2">IF(I5="","",IF(I5="No funciona como PAN","No usar como oferta de entrada",IF(I5="PAN débil","Simplificar y reducir el riesgo",IF(I5="Buen PAN","Estandarizar y conectar con una TORTA","Escalar adquisición y medir conversión"))))</f>
        <v/>
      </c>
    </row>
    <row r="6" spans="1:10" ht="60.25" customHeight="1" x14ac:dyDescent="0.2">
      <c r="A6" s="12">
        <v>2</v>
      </c>
      <c r="B6" s="12" t="str">
        <f>IF('Inventario del Portafolio'!B7="","",'Inventario del Portafolio'!B7)</f>
        <v/>
      </c>
      <c r="C6" s="10"/>
      <c r="D6" s="10"/>
      <c r="E6" s="10"/>
      <c r="F6" s="10"/>
      <c r="G6" s="10"/>
      <c r="H6" s="14" t="str">
        <f t="shared" si="0"/>
        <v/>
      </c>
      <c r="I6" s="14" t="str">
        <f t="shared" si="1"/>
        <v/>
      </c>
      <c r="J6" s="14" t="str">
        <f t="shared" si="2"/>
        <v/>
      </c>
    </row>
    <row r="7" spans="1:10" ht="60.25" customHeight="1" x14ac:dyDescent="0.2">
      <c r="A7" s="12">
        <v>3</v>
      </c>
      <c r="B7" s="12" t="str">
        <f>IF('Inventario del Portafolio'!B8="","",'Inventario del Portafolio'!B8)</f>
        <v/>
      </c>
      <c r="C7" s="10"/>
      <c r="D7" s="10"/>
      <c r="E7" s="10"/>
      <c r="F7" s="10"/>
      <c r="G7" s="10"/>
      <c r="H7" s="14" t="str">
        <f t="shared" si="0"/>
        <v/>
      </c>
      <c r="I7" s="14" t="str">
        <f t="shared" si="1"/>
        <v/>
      </c>
      <c r="J7" s="14" t="str">
        <f t="shared" si="2"/>
        <v/>
      </c>
    </row>
    <row r="8" spans="1:10" ht="60.25" customHeight="1" x14ac:dyDescent="0.2">
      <c r="A8" s="12">
        <v>4</v>
      </c>
      <c r="B8" s="12" t="str">
        <f>IF('Inventario del Portafolio'!B9="","",'Inventario del Portafolio'!B9)</f>
        <v/>
      </c>
      <c r="C8" s="10"/>
      <c r="D8" s="10"/>
      <c r="E8" s="10"/>
      <c r="F8" s="10"/>
      <c r="G8" s="10"/>
      <c r="H8" s="14" t="str">
        <f t="shared" si="0"/>
        <v/>
      </c>
      <c r="I8" s="14" t="str">
        <f t="shared" si="1"/>
        <v/>
      </c>
      <c r="J8" s="14" t="str">
        <f t="shared" si="2"/>
        <v/>
      </c>
    </row>
    <row r="9" spans="1:10" ht="60.25" customHeight="1" x14ac:dyDescent="0.2">
      <c r="A9" s="12">
        <v>5</v>
      </c>
      <c r="B9" s="12" t="str">
        <f>IF('Inventario del Portafolio'!B10="","",'Inventario del Portafolio'!B10)</f>
        <v/>
      </c>
      <c r="C9" s="10"/>
      <c r="D9" s="10"/>
      <c r="E9" s="10"/>
      <c r="F9" s="10"/>
      <c r="G9" s="10"/>
      <c r="H9" s="14" t="str">
        <f t="shared" si="0"/>
        <v/>
      </c>
      <c r="I9" s="14" t="str">
        <f t="shared" si="1"/>
        <v/>
      </c>
      <c r="J9" s="14" t="str">
        <f t="shared" si="2"/>
        <v/>
      </c>
    </row>
    <row r="10" spans="1:10" ht="60.25" customHeight="1" x14ac:dyDescent="0.2">
      <c r="A10" s="12">
        <v>6</v>
      </c>
      <c r="B10" s="12" t="str">
        <f>IF('Inventario del Portafolio'!B11="","",'Inventario del Portafolio'!B11)</f>
        <v/>
      </c>
      <c r="C10" s="10"/>
      <c r="D10" s="10"/>
      <c r="E10" s="10"/>
      <c r="F10" s="10"/>
      <c r="G10" s="10"/>
      <c r="H10" s="14" t="str">
        <f t="shared" si="0"/>
        <v/>
      </c>
      <c r="I10" s="14" t="str">
        <f t="shared" si="1"/>
        <v/>
      </c>
      <c r="J10" s="14" t="str">
        <f t="shared" si="2"/>
        <v/>
      </c>
    </row>
    <row r="11" spans="1:10" ht="60.25" customHeight="1" x14ac:dyDescent="0.2">
      <c r="A11" s="12">
        <v>7</v>
      </c>
      <c r="B11" s="12" t="str">
        <f>IF('Inventario del Portafolio'!B12="","",'Inventario del Portafolio'!B12)</f>
        <v/>
      </c>
      <c r="C11" s="10"/>
      <c r="D11" s="10"/>
      <c r="E11" s="10"/>
      <c r="F11" s="10"/>
      <c r="G11" s="10"/>
      <c r="H11" s="14" t="str">
        <f t="shared" si="0"/>
        <v/>
      </c>
      <c r="I11" s="14" t="str">
        <f t="shared" si="1"/>
        <v/>
      </c>
      <c r="J11" s="14" t="str">
        <f t="shared" si="2"/>
        <v/>
      </c>
    </row>
    <row r="12" spans="1:10" ht="60.25" customHeight="1" x14ac:dyDescent="0.2">
      <c r="A12" s="12">
        <v>8</v>
      </c>
      <c r="B12" s="12" t="str">
        <f>IF('Inventario del Portafolio'!B13="","",'Inventario del Portafolio'!B13)</f>
        <v/>
      </c>
      <c r="C12" s="10"/>
      <c r="D12" s="10"/>
      <c r="E12" s="10"/>
      <c r="F12" s="10"/>
      <c r="G12" s="10"/>
      <c r="H12" s="14" t="str">
        <f t="shared" si="0"/>
        <v/>
      </c>
      <c r="I12" s="14" t="str">
        <f t="shared" si="1"/>
        <v/>
      </c>
      <c r="J12" s="14" t="str">
        <f t="shared" si="2"/>
        <v/>
      </c>
    </row>
    <row r="13" spans="1:10" ht="60.25" customHeight="1" x14ac:dyDescent="0.2">
      <c r="A13" s="12">
        <v>9</v>
      </c>
      <c r="B13" s="12" t="str">
        <f>IF('Inventario del Portafolio'!B14="","",'Inventario del Portafolio'!B14)</f>
        <v/>
      </c>
      <c r="C13" s="10"/>
      <c r="D13" s="10"/>
      <c r="E13" s="10"/>
      <c r="F13" s="10"/>
      <c r="G13" s="10"/>
      <c r="H13" s="14" t="str">
        <f t="shared" si="0"/>
        <v/>
      </c>
      <c r="I13" s="14" t="str">
        <f t="shared" si="1"/>
        <v/>
      </c>
      <c r="J13" s="14" t="str">
        <f t="shared" si="2"/>
        <v/>
      </c>
    </row>
    <row r="14" spans="1:10" ht="60.25" customHeight="1" x14ac:dyDescent="0.2">
      <c r="A14" s="12">
        <v>10</v>
      </c>
      <c r="B14" s="12" t="str">
        <f>IF('Inventario del Portafolio'!B15="","",'Inventario del Portafolio'!B15)</f>
        <v/>
      </c>
      <c r="C14" s="10"/>
      <c r="D14" s="10"/>
      <c r="E14" s="10"/>
      <c r="F14" s="10"/>
      <c r="G14" s="10"/>
      <c r="H14" s="14" t="str">
        <f t="shared" si="0"/>
        <v/>
      </c>
      <c r="I14" s="14" t="str">
        <f t="shared" si="1"/>
        <v/>
      </c>
      <c r="J14" s="14" t="str">
        <f t="shared" si="2"/>
        <v/>
      </c>
    </row>
    <row r="17" spans="2:4" x14ac:dyDescent="0.2">
      <c r="B17" s="9" t="s">
        <v>145</v>
      </c>
      <c r="C17" s="9" t="s">
        <v>146</v>
      </c>
      <c r="D17" s="9" t="s">
        <v>147</v>
      </c>
    </row>
    <row r="18" spans="2:4" ht="60.25" customHeight="1" x14ac:dyDescent="0.2">
      <c r="B18" s="76" t="s">
        <v>138</v>
      </c>
      <c r="C18" s="76" t="s">
        <v>148</v>
      </c>
      <c r="D18" s="76" t="s">
        <v>149</v>
      </c>
    </row>
    <row r="19" spans="2:4" ht="60.25" customHeight="1" x14ac:dyDescent="0.2">
      <c r="B19" s="76" t="s">
        <v>139</v>
      </c>
      <c r="C19" s="76" t="s">
        <v>150</v>
      </c>
      <c r="D19" s="76" t="s">
        <v>151</v>
      </c>
    </row>
    <row r="20" spans="2:4" ht="60.25" customHeight="1" x14ac:dyDescent="0.2">
      <c r="B20" s="76" t="s">
        <v>140</v>
      </c>
      <c r="C20" s="76" t="s">
        <v>152</v>
      </c>
      <c r="D20" s="76" t="s">
        <v>153</v>
      </c>
    </row>
    <row r="21" spans="2:4" ht="60.25" customHeight="1" x14ac:dyDescent="0.2">
      <c r="B21" s="76" t="s">
        <v>141</v>
      </c>
      <c r="C21" s="76" t="s">
        <v>154</v>
      </c>
      <c r="D21" s="76" t="s">
        <v>155</v>
      </c>
    </row>
    <row r="22" spans="2:4" ht="60.25" customHeight="1" x14ac:dyDescent="0.2">
      <c r="B22" s="76" t="s">
        <v>142</v>
      </c>
      <c r="C22" s="76" t="s">
        <v>156</v>
      </c>
      <c r="D22" s="76" t="s">
        <v>157</v>
      </c>
    </row>
  </sheetData>
  <mergeCells count="2">
    <mergeCell ref="A1:J1"/>
    <mergeCell ref="H2:J2"/>
  </mergeCells>
  <conditionalFormatting sqref="C5:G14">
    <cfRule type="colorScale" priority="1">
      <colorScale>
        <cfvo type="min"/>
        <cfvo type="percentile" val="50"/>
        <cfvo type="max"/>
        <color rgb="FFF4CCCC"/>
        <color rgb="FFFFF2CC"/>
        <color rgb="FFC6EFCE"/>
      </colorScale>
    </cfRule>
  </conditionalFormatting>
  <dataValidations count="1">
    <dataValidation type="list" sqref="C5:G14" xr:uid="{00000000-0002-0000-0300-000000000000}">
      <formula1>"1,2,3,4,5"</formula1>
    </dataValidation>
  </dataValidations>
  <pageMargins left="0.25" right="0.25" top="0.75" bottom="0.75" header="0.3" footer="0.3"/>
  <pageSetup paperSize="9" scale="46" orientation="portrait" horizontalDpi="0" verticalDpi="0" copies="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2"/>
  <sheetViews>
    <sheetView workbookViewId="0">
      <selection activeCell="B5" sqref="B5"/>
    </sheetView>
  </sheetViews>
  <sheetFormatPr baseColWidth="10" defaultColWidth="8.83203125" defaultRowHeight="16" x14ac:dyDescent="0.2"/>
  <cols>
    <col min="1" max="1" width="5" customWidth="1"/>
    <col min="2" max="2" width="28" customWidth="1"/>
    <col min="3" max="4" width="32" customWidth="1"/>
    <col min="5" max="5" width="17" customWidth="1"/>
    <col min="6" max="6" width="18.1640625" customWidth="1"/>
    <col min="7" max="7" width="17" customWidth="1"/>
    <col min="8" max="8" width="10" customWidth="1"/>
    <col min="9" max="9" width="21" customWidth="1"/>
    <col min="10" max="10" width="30" customWidth="1"/>
  </cols>
  <sheetData>
    <row r="1" spans="1:10" ht="67.75" customHeight="1" x14ac:dyDescent="0.2">
      <c r="A1" s="49" t="s">
        <v>158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44.25" customHeight="1" x14ac:dyDescent="0.2">
      <c r="A2" s="80" t="s">
        <v>159</v>
      </c>
      <c r="B2" s="8"/>
      <c r="C2" s="8"/>
      <c r="D2" s="8"/>
      <c r="E2" s="8"/>
      <c r="F2" s="8"/>
      <c r="G2" s="8"/>
      <c r="H2" s="50" t="s">
        <v>160</v>
      </c>
      <c r="I2" s="51"/>
      <c r="J2" s="52"/>
    </row>
    <row r="4" spans="1:10" ht="60.25" customHeight="1" x14ac:dyDescent="0.2">
      <c r="A4" s="102" t="s">
        <v>93</v>
      </c>
      <c r="B4" s="102" t="s">
        <v>94</v>
      </c>
      <c r="C4" s="102" t="s">
        <v>161</v>
      </c>
      <c r="D4" s="102" t="s">
        <v>162</v>
      </c>
      <c r="E4" s="102" t="s">
        <v>163</v>
      </c>
      <c r="F4" s="102" t="s">
        <v>164</v>
      </c>
      <c r="G4" s="102" t="s">
        <v>165</v>
      </c>
      <c r="H4" s="102" t="s">
        <v>109</v>
      </c>
      <c r="I4" s="102" t="s">
        <v>143</v>
      </c>
      <c r="J4" s="102" t="s">
        <v>144</v>
      </c>
    </row>
    <row r="5" spans="1:10" ht="60.25" customHeight="1" x14ac:dyDescent="0.2">
      <c r="A5" s="87">
        <v>1</v>
      </c>
      <c r="B5" s="87" t="str">
        <f>IF('Inventario del Portafolio'!B6="","",'Inventario del Portafolio'!B6)</f>
        <v/>
      </c>
      <c r="C5" s="91"/>
      <c r="D5" s="91"/>
      <c r="E5" s="91"/>
      <c r="F5" s="91"/>
      <c r="G5" s="91"/>
      <c r="H5" s="103" t="str">
        <f t="shared" ref="H5:H14" si="0">IF(COUNT(C5:G5)&lt;5,"",SUM(C5:G5))</f>
        <v/>
      </c>
      <c r="I5" s="103" t="str">
        <f t="shared" ref="I5:I14" si="1">IF(B5="","",IF(H5="","Completa puntajes",IF(H5&lt;=10,"Poco valor estratégico",IF(H5&lt;=15,"TORTA débil",IF(H5&lt;=20,"Buena TORTA","Excelente TORTA")))))</f>
        <v/>
      </c>
      <c r="J5" s="103" t="str">
        <f t="shared" ref="J5:J14" si="2">IF(I5="","",IF(I5="Poco valor estratégico","Rediseñar o retirar",IF(I5="TORTA débil","Mejorar margen o diferenciación",IF(I5="Buena TORTA","Fortalecer la ruta de entrada","Proteger, escalar y sistematizar"))))</f>
        <v/>
      </c>
    </row>
    <row r="6" spans="1:10" ht="60.25" customHeight="1" x14ac:dyDescent="0.2">
      <c r="A6" s="87">
        <v>2</v>
      </c>
      <c r="B6" s="87" t="str">
        <f>IF('Inventario del Portafolio'!B7="","",'Inventario del Portafolio'!B7)</f>
        <v/>
      </c>
      <c r="C6" s="91"/>
      <c r="D6" s="91"/>
      <c r="E6" s="91"/>
      <c r="F6" s="91"/>
      <c r="G6" s="91"/>
      <c r="H6" s="103" t="str">
        <f t="shared" si="0"/>
        <v/>
      </c>
      <c r="I6" s="103" t="str">
        <f t="shared" si="1"/>
        <v/>
      </c>
      <c r="J6" s="103" t="str">
        <f t="shared" si="2"/>
        <v/>
      </c>
    </row>
    <row r="7" spans="1:10" ht="60.25" customHeight="1" x14ac:dyDescent="0.2">
      <c r="A7" s="87">
        <v>3</v>
      </c>
      <c r="B7" s="87" t="str">
        <f>IF('Inventario del Portafolio'!B8="","",'Inventario del Portafolio'!B8)</f>
        <v/>
      </c>
      <c r="C7" s="91"/>
      <c r="D7" s="91"/>
      <c r="E7" s="91"/>
      <c r="F7" s="91"/>
      <c r="G7" s="91"/>
      <c r="H7" s="103" t="str">
        <f t="shared" si="0"/>
        <v/>
      </c>
      <c r="I7" s="103" t="str">
        <f t="shared" si="1"/>
        <v/>
      </c>
      <c r="J7" s="103" t="str">
        <f t="shared" si="2"/>
        <v/>
      </c>
    </row>
    <row r="8" spans="1:10" ht="60.25" customHeight="1" x14ac:dyDescent="0.2">
      <c r="A8" s="87">
        <v>4</v>
      </c>
      <c r="B8" s="87" t="str">
        <f>IF('Inventario del Portafolio'!B9="","",'Inventario del Portafolio'!B9)</f>
        <v/>
      </c>
      <c r="C8" s="91"/>
      <c r="D8" s="91"/>
      <c r="E8" s="91"/>
      <c r="F8" s="91"/>
      <c r="G8" s="91"/>
      <c r="H8" s="103" t="str">
        <f t="shared" si="0"/>
        <v/>
      </c>
      <c r="I8" s="103" t="str">
        <f t="shared" si="1"/>
        <v/>
      </c>
      <c r="J8" s="103" t="str">
        <f t="shared" si="2"/>
        <v/>
      </c>
    </row>
    <row r="9" spans="1:10" ht="60.25" customHeight="1" x14ac:dyDescent="0.2">
      <c r="A9" s="87">
        <v>5</v>
      </c>
      <c r="B9" s="87" t="str">
        <f>IF('Inventario del Portafolio'!B10="","",'Inventario del Portafolio'!B10)</f>
        <v/>
      </c>
      <c r="C9" s="91"/>
      <c r="D9" s="91"/>
      <c r="E9" s="91"/>
      <c r="F9" s="91"/>
      <c r="G9" s="91"/>
      <c r="H9" s="103" t="str">
        <f t="shared" si="0"/>
        <v/>
      </c>
      <c r="I9" s="103" t="str">
        <f t="shared" si="1"/>
        <v/>
      </c>
      <c r="J9" s="103" t="str">
        <f t="shared" si="2"/>
        <v/>
      </c>
    </row>
    <row r="10" spans="1:10" ht="60.25" customHeight="1" x14ac:dyDescent="0.2">
      <c r="A10" s="87">
        <v>6</v>
      </c>
      <c r="B10" s="87" t="str">
        <f>IF('Inventario del Portafolio'!B11="","",'Inventario del Portafolio'!B11)</f>
        <v/>
      </c>
      <c r="C10" s="91"/>
      <c r="D10" s="91"/>
      <c r="E10" s="91"/>
      <c r="F10" s="91"/>
      <c r="G10" s="91"/>
      <c r="H10" s="103" t="str">
        <f t="shared" si="0"/>
        <v/>
      </c>
      <c r="I10" s="103" t="str">
        <f t="shared" si="1"/>
        <v/>
      </c>
      <c r="J10" s="103" t="str">
        <f t="shared" si="2"/>
        <v/>
      </c>
    </row>
    <row r="11" spans="1:10" ht="60.25" customHeight="1" x14ac:dyDescent="0.2">
      <c r="A11" s="87">
        <v>7</v>
      </c>
      <c r="B11" s="87" t="str">
        <f>IF('Inventario del Portafolio'!B12="","",'Inventario del Portafolio'!B12)</f>
        <v/>
      </c>
      <c r="C11" s="91"/>
      <c r="D11" s="91"/>
      <c r="E11" s="91"/>
      <c r="F11" s="91"/>
      <c r="G11" s="91"/>
      <c r="H11" s="103" t="str">
        <f t="shared" si="0"/>
        <v/>
      </c>
      <c r="I11" s="103" t="str">
        <f t="shared" si="1"/>
        <v/>
      </c>
      <c r="J11" s="103" t="str">
        <f t="shared" si="2"/>
        <v/>
      </c>
    </row>
    <row r="12" spans="1:10" ht="60.25" customHeight="1" x14ac:dyDescent="0.2">
      <c r="A12" s="87">
        <v>8</v>
      </c>
      <c r="B12" s="87" t="str">
        <f>IF('Inventario del Portafolio'!B13="","",'Inventario del Portafolio'!B13)</f>
        <v/>
      </c>
      <c r="C12" s="91"/>
      <c r="D12" s="91"/>
      <c r="E12" s="91"/>
      <c r="F12" s="91"/>
      <c r="G12" s="91"/>
      <c r="H12" s="103" t="str">
        <f t="shared" si="0"/>
        <v/>
      </c>
      <c r="I12" s="103" t="str">
        <f t="shared" si="1"/>
        <v/>
      </c>
      <c r="J12" s="103" t="str">
        <f t="shared" si="2"/>
        <v/>
      </c>
    </row>
    <row r="13" spans="1:10" ht="60.25" customHeight="1" x14ac:dyDescent="0.2">
      <c r="A13" s="87">
        <v>9</v>
      </c>
      <c r="B13" s="87" t="str">
        <f>IF('Inventario del Portafolio'!B14="","",'Inventario del Portafolio'!B14)</f>
        <v/>
      </c>
      <c r="C13" s="91"/>
      <c r="D13" s="91"/>
      <c r="E13" s="91"/>
      <c r="F13" s="91"/>
      <c r="G13" s="91"/>
      <c r="H13" s="103" t="str">
        <f t="shared" si="0"/>
        <v/>
      </c>
      <c r="I13" s="103" t="str">
        <f t="shared" si="1"/>
        <v/>
      </c>
      <c r="J13" s="103" t="str">
        <f t="shared" si="2"/>
        <v/>
      </c>
    </row>
    <row r="14" spans="1:10" ht="60.25" customHeight="1" x14ac:dyDescent="0.2">
      <c r="A14" s="87">
        <v>10</v>
      </c>
      <c r="B14" s="87" t="str">
        <f>IF('Inventario del Portafolio'!B15="","",'Inventario del Portafolio'!B15)</f>
        <v/>
      </c>
      <c r="C14" s="91"/>
      <c r="D14" s="91"/>
      <c r="E14" s="91"/>
      <c r="F14" s="91"/>
      <c r="G14" s="91"/>
      <c r="H14" s="103" t="str">
        <f t="shared" si="0"/>
        <v/>
      </c>
      <c r="I14" s="103" t="str">
        <f t="shared" si="1"/>
        <v/>
      </c>
      <c r="J14" s="103" t="str">
        <f t="shared" si="2"/>
        <v/>
      </c>
    </row>
    <row r="15" spans="1:10" ht="19" x14ac:dyDescent="0.25">
      <c r="A15" s="104"/>
      <c r="B15" s="104"/>
      <c r="C15" s="104"/>
      <c r="D15" s="104"/>
      <c r="E15" s="104"/>
      <c r="F15" s="104"/>
      <c r="G15" s="104"/>
      <c r="H15" s="104"/>
      <c r="I15" s="104"/>
      <c r="J15" s="104"/>
    </row>
    <row r="16" spans="1:10" ht="19" x14ac:dyDescent="0.25">
      <c r="A16" s="104"/>
      <c r="B16" s="104"/>
      <c r="C16" s="104"/>
      <c r="D16" s="104"/>
      <c r="E16" s="104"/>
      <c r="F16" s="104"/>
      <c r="G16" s="104"/>
      <c r="H16" s="104"/>
      <c r="I16" s="104"/>
      <c r="J16" s="104"/>
    </row>
    <row r="17" spans="1:10" ht="19" x14ac:dyDescent="0.25">
      <c r="A17" s="104"/>
      <c r="B17" s="73" t="s">
        <v>145</v>
      </c>
      <c r="C17" s="73" t="s">
        <v>146</v>
      </c>
      <c r="D17" s="73" t="s">
        <v>147</v>
      </c>
      <c r="E17" s="104"/>
      <c r="F17" s="104"/>
      <c r="G17" s="104"/>
      <c r="H17" s="104"/>
      <c r="I17" s="104"/>
      <c r="J17" s="104"/>
    </row>
    <row r="18" spans="1:10" ht="60.25" customHeight="1" x14ac:dyDescent="0.25">
      <c r="A18" s="104"/>
      <c r="B18" s="76" t="s">
        <v>161</v>
      </c>
      <c r="C18" s="76" t="s">
        <v>166</v>
      </c>
      <c r="D18" s="76" t="s">
        <v>167</v>
      </c>
      <c r="E18" s="104"/>
      <c r="F18" s="104"/>
      <c r="G18" s="104"/>
      <c r="H18" s="104"/>
      <c r="I18" s="104"/>
      <c r="J18" s="104"/>
    </row>
    <row r="19" spans="1:10" ht="60.25" customHeight="1" x14ac:dyDescent="0.25">
      <c r="A19" s="104"/>
      <c r="B19" s="76" t="s">
        <v>162</v>
      </c>
      <c r="C19" s="76" t="s">
        <v>168</v>
      </c>
      <c r="D19" s="76" t="s">
        <v>169</v>
      </c>
      <c r="E19" s="104"/>
      <c r="F19" s="104"/>
      <c r="G19" s="104"/>
      <c r="H19" s="104"/>
      <c r="I19" s="104"/>
      <c r="J19" s="104"/>
    </row>
    <row r="20" spans="1:10" ht="60.25" customHeight="1" x14ac:dyDescent="0.25">
      <c r="A20" s="104"/>
      <c r="B20" s="76" t="s">
        <v>163</v>
      </c>
      <c r="C20" s="76" t="s">
        <v>170</v>
      </c>
      <c r="D20" s="76" t="s">
        <v>171</v>
      </c>
      <c r="E20" s="104"/>
      <c r="F20" s="104"/>
      <c r="G20" s="104"/>
      <c r="H20" s="104"/>
      <c r="I20" s="104"/>
      <c r="J20" s="104"/>
    </row>
    <row r="21" spans="1:10" ht="60.25" customHeight="1" x14ac:dyDescent="0.25">
      <c r="A21" s="104"/>
      <c r="B21" s="76" t="s">
        <v>164</v>
      </c>
      <c r="C21" s="76" t="s">
        <v>172</v>
      </c>
      <c r="D21" s="76" t="s">
        <v>173</v>
      </c>
      <c r="E21" s="104"/>
      <c r="F21" s="104"/>
      <c r="G21" s="104"/>
      <c r="H21" s="104"/>
      <c r="I21" s="104"/>
      <c r="J21" s="104"/>
    </row>
    <row r="22" spans="1:10" ht="60.25" customHeight="1" x14ac:dyDescent="0.25">
      <c r="A22" s="104"/>
      <c r="B22" s="76" t="s">
        <v>165</v>
      </c>
      <c r="C22" s="76" t="s">
        <v>174</v>
      </c>
      <c r="D22" s="76" t="s">
        <v>175</v>
      </c>
      <c r="E22" s="104"/>
      <c r="F22" s="104"/>
      <c r="G22" s="104"/>
      <c r="H22" s="104"/>
      <c r="I22" s="104"/>
      <c r="J22" s="104"/>
    </row>
  </sheetData>
  <mergeCells count="2">
    <mergeCell ref="A1:J1"/>
    <mergeCell ref="H2:J2"/>
  </mergeCells>
  <conditionalFormatting sqref="C5:G14">
    <cfRule type="colorScale" priority="1">
      <colorScale>
        <cfvo type="min"/>
        <cfvo type="percentile" val="50"/>
        <cfvo type="max"/>
        <color rgb="FFF4CCCC"/>
        <color rgb="FFFFF2CC"/>
        <color rgb="FFC6EFCE"/>
      </colorScale>
    </cfRule>
  </conditionalFormatting>
  <dataValidations count="1">
    <dataValidation type="list" sqref="C5:G14" xr:uid="{00000000-0002-0000-0400-000000000000}">
      <formula1>"1,2,3,4,5"</formula1>
    </dataValidation>
  </dataValidations>
  <pageMargins left="0.25" right="0.25" top="0.75" bottom="0.75" header="0.3" footer="0.3"/>
  <pageSetup paperSize="9" scale="44" orientation="portrait" horizontalDpi="0" verticalDpi="0" copies="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3"/>
  <sheetViews>
    <sheetView zoomScale="50" workbookViewId="0">
      <selection activeCell="Z21" sqref="Z21"/>
    </sheetView>
  </sheetViews>
  <sheetFormatPr baseColWidth="10" defaultRowHeight="16" x14ac:dyDescent="0.2"/>
  <cols>
    <col min="1" max="1" width="5" customWidth="1"/>
    <col min="2" max="2" width="25" customWidth="1"/>
    <col min="3" max="4" width="14" customWidth="1"/>
    <col min="5" max="8" width="18" customWidth="1"/>
    <col min="9" max="9" width="16.6640625" customWidth="1"/>
    <col min="10" max="10" width="26" customWidth="1"/>
    <col min="11" max="11" width="15.1640625" customWidth="1"/>
    <col min="12" max="12" width="19.83203125" customWidth="1"/>
    <col min="13" max="16" width="11.33203125" customWidth="1"/>
    <col min="17" max="20" width="11.5" customWidth="1"/>
    <col min="21" max="21" width="17.83203125" customWidth="1"/>
    <col min="22" max="22" width="28.6640625" customWidth="1"/>
  </cols>
  <sheetData>
    <row r="1" spans="1:22" ht="67.75" customHeight="1" x14ac:dyDescent="0.2">
      <c r="A1" s="49" t="s">
        <v>176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19"/>
      <c r="V1" s="19"/>
    </row>
    <row r="2" spans="1:22" ht="44.25" customHeight="1" x14ac:dyDescent="0.2">
      <c r="A2" s="80" t="s">
        <v>177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50" t="s">
        <v>178</v>
      </c>
      <c r="S2" s="51"/>
      <c r="T2" s="52"/>
      <c r="U2" s="19"/>
      <c r="V2" s="19"/>
    </row>
    <row r="3" spans="1:22" ht="62.25" customHeight="1" x14ac:dyDescent="0.2">
      <c r="A3" s="19"/>
      <c r="B3" s="20"/>
      <c r="C3" s="19"/>
      <c r="D3" s="19"/>
      <c r="E3" s="19"/>
      <c r="F3" s="19"/>
      <c r="G3" s="19"/>
      <c r="H3" s="19"/>
      <c r="I3" s="21"/>
      <c r="J3" s="21"/>
      <c r="K3" s="21"/>
      <c r="L3" s="6"/>
      <c r="M3" s="110" t="s">
        <v>179</v>
      </c>
      <c r="N3" s="110"/>
      <c r="O3" s="110"/>
      <c r="P3" s="110"/>
      <c r="Q3" s="110"/>
      <c r="R3" s="110"/>
      <c r="S3" s="110"/>
      <c r="T3" s="110"/>
      <c r="U3" s="24"/>
      <c r="V3" s="24"/>
    </row>
    <row r="4" spans="1:22" s="5" customFormat="1" ht="55" customHeight="1" x14ac:dyDescent="0.2">
      <c r="A4" s="73" t="s">
        <v>93</v>
      </c>
      <c r="B4" s="73" t="s">
        <v>94</v>
      </c>
      <c r="C4" s="73" t="s">
        <v>97</v>
      </c>
      <c r="D4" s="73" t="s">
        <v>102</v>
      </c>
      <c r="E4" s="73" t="s">
        <v>180</v>
      </c>
      <c r="F4" s="73" t="s">
        <v>181</v>
      </c>
      <c r="G4" s="73" t="s">
        <v>182</v>
      </c>
      <c r="H4" s="73" t="s">
        <v>183</v>
      </c>
      <c r="I4" s="73" t="s">
        <v>184</v>
      </c>
      <c r="J4" s="73" t="s">
        <v>185</v>
      </c>
      <c r="K4" s="73" t="s">
        <v>186</v>
      </c>
      <c r="L4" s="20"/>
      <c r="M4" s="20"/>
      <c r="N4" s="20"/>
      <c r="O4" s="20"/>
      <c r="P4" s="20"/>
      <c r="Q4" s="20"/>
      <c r="R4" s="21"/>
      <c r="S4" s="21"/>
      <c r="T4" s="21"/>
      <c r="U4" s="111" t="s">
        <v>187</v>
      </c>
      <c r="V4" s="111" t="s">
        <v>76</v>
      </c>
    </row>
    <row r="5" spans="1:22" ht="55" customHeight="1" x14ac:dyDescent="0.2">
      <c r="A5" s="71">
        <v>1</v>
      </c>
      <c r="B5" s="71" t="str">
        <f>IF('Inventario del Portafolio'!B6="","",'Inventario del Portafolio'!B6)</f>
        <v/>
      </c>
      <c r="C5" s="105" t="str">
        <f>IF(B5="","",'Inventario del Portafolio'!E6)</f>
        <v/>
      </c>
      <c r="D5" s="106" t="str">
        <f>IF(B5="","",'Inventario del Portafolio'!J6)</f>
        <v/>
      </c>
      <c r="E5" s="107" t="str">
        <f>IF(B5="","",'Índice PAN'!H5)</f>
        <v/>
      </c>
      <c r="F5" s="71" t="str">
        <f>IF(B5="","",'Índice PAN'!I5)</f>
        <v/>
      </c>
      <c r="G5" s="71" t="str">
        <f>IF(B5="","",'Índice TORTA'!H5)</f>
        <v/>
      </c>
      <c r="H5" s="71" t="str">
        <f>IF(B5="","",'Índice TORTA'!I5)</f>
        <v/>
      </c>
      <c r="I5" s="71" t="str">
        <f t="shared" ref="I5:I14" si="0">IF(B5="","",IF(OR(E5="",G5=""),"SIN EVALUAR",IF(AND(E5&gt;=16,G5&gt;=16),"ESTRELLA",IF(AND(E5&gt;=16,G5&lt;16),"PAN",IF(AND(E5&lt;16,G5&gt;=16),"TORTA","LASTRE")))))</f>
        <v/>
      </c>
      <c r="J5" s="71" t="str">
        <f t="shared" ref="J5:J14" si="1">IF(I5="","",IF(I5="ESTRELLA","Escalar y proteger",IF(I5="PAN","Conectar con una TORTA",IF(I5="TORTA","Crear un PAN de entrada",IF(I5="LASTRE","Rediseñar o retirar","Completar evaluación")))))</f>
        <v/>
      </c>
      <c r="K5" s="71" t="str">
        <f t="shared" ref="K5:K14" si="2">IF(B5="","",IF(I5="ESTRELLA","1 - Alta",IF(I5="PAN","2 - Media",IF(I5="TORTA","2 - Media",IF(I5="LASTRE","1 - Alta","3 - Pendiente")))))</f>
        <v/>
      </c>
      <c r="L5" s="53" t="s">
        <v>188</v>
      </c>
      <c r="M5" s="209" t="s">
        <v>189</v>
      </c>
      <c r="N5" s="210"/>
      <c r="O5" s="210"/>
      <c r="P5" s="211"/>
      <c r="Q5" s="200" t="s">
        <v>190</v>
      </c>
      <c r="R5" s="201"/>
      <c r="S5" s="201"/>
      <c r="T5" s="202"/>
      <c r="U5" s="112">
        <f>SUM(P5:T5)</f>
        <v>0</v>
      </c>
      <c r="V5" s="113" t="str">
        <f>IF(U5="","",IF(U5&lt;5,"Revisar puntaje",IF(U5&lt;=10,"Poco valor estratégico",IF(U5&lt;=15,"Torta débil",IF(U5&lt;=20,"Buena torta","Excelente torta")))))</f>
        <v>Revisar puntaje</v>
      </c>
    </row>
    <row r="6" spans="1:22" ht="55" customHeight="1" x14ac:dyDescent="0.2">
      <c r="A6" s="71">
        <v>2</v>
      </c>
      <c r="B6" s="71" t="str">
        <f>IF('Inventario del Portafolio'!B7="","",'Inventario del Portafolio'!B7)</f>
        <v/>
      </c>
      <c r="C6" s="105" t="str">
        <f>IF(B6="","",'Inventario del Portafolio'!E7)</f>
        <v/>
      </c>
      <c r="D6" s="106" t="str">
        <f>IF(B6="","",'Inventario del Portafolio'!J7)</f>
        <v/>
      </c>
      <c r="E6" s="107" t="str">
        <f>IF(B6="","",'Índice PAN'!H6)</f>
        <v/>
      </c>
      <c r="F6" s="71" t="str">
        <f>IF(B6="","",'Índice PAN'!I6)</f>
        <v/>
      </c>
      <c r="G6" s="71" t="str">
        <f>IF(B6="","",'Índice TORTA'!H6)</f>
        <v/>
      </c>
      <c r="H6" s="71" t="str">
        <f>IF(B6="","",'Índice TORTA'!I6)</f>
        <v/>
      </c>
      <c r="I6" s="71" t="str">
        <f t="shared" si="0"/>
        <v/>
      </c>
      <c r="J6" s="71" t="str">
        <f t="shared" si="1"/>
        <v/>
      </c>
      <c r="K6" s="71" t="str">
        <f t="shared" si="2"/>
        <v/>
      </c>
      <c r="L6" s="53"/>
      <c r="M6" s="212"/>
      <c r="N6" s="213">
        <f t="shared" ref="N6:N14" si="3">SUM(I6:M6)</f>
        <v>0</v>
      </c>
      <c r="O6" s="213" t="str">
        <f t="shared" ref="O6:O14" si="4">IF(N6="","",IF(N6&lt;5,"Revisar puntaje",IF(N6&lt;=10,"No funciona como pan",IF(N6&lt;=15,"Pan débil",IF(N6&lt;=20,"Buen producto pan","Excelente producto pan")))))</f>
        <v>Revisar puntaje</v>
      </c>
      <c r="P6" s="214"/>
      <c r="Q6" s="203"/>
      <c r="R6" s="204"/>
      <c r="S6" s="204"/>
      <c r="T6" s="205"/>
      <c r="U6" s="112">
        <f t="shared" ref="U6:U14" si="5">SUM(P6:T6)</f>
        <v>0</v>
      </c>
      <c r="V6" s="113" t="str">
        <f t="shared" ref="V6:V14" si="6">IF(U6="","",IF(U6&lt;5,"Revisar puntaje",IF(U6&lt;=10,"Poco valor estratégico",IF(U6&lt;=15,"Torta débil",IF(U6&lt;=20,"Buena torta","Excelente torta")))))</f>
        <v>Revisar puntaje</v>
      </c>
    </row>
    <row r="7" spans="1:22" ht="55" customHeight="1" x14ac:dyDescent="0.2">
      <c r="A7" s="71">
        <v>3</v>
      </c>
      <c r="B7" s="71" t="str">
        <f>IF('Inventario del Portafolio'!B8="","",'Inventario del Portafolio'!B8)</f>
        <v/>
      </c>
      <c r="C7" s="105" t="str">
        <f>IF(B7="","",'Inventario del Portafolio'!E8)</f>
        <v/>
      </c>
      <c r="D7" s="106" t="str">
        <f>IF(B7="","",'Inventario del Portafolio'!J8)</f>
        <v/>
      </c>
      <c r="E7" s="107" t="str">
        <f>IF(B7="","",'Índice PAN'!H7)</f>
        <v/>
      </c>
      <c r="F7" s="71" t="str">
        <f>IF(B7="","",'Índice PAN'!I7)</f>
        <v/>
      </c>
      <c r="G7" s="71" t="str">
        <f>IF(B7="","",'Índice TORTA'!H7)</f>
        <v/>
      </c>
      <c r="H7" s="71" t="str">
        <f>IF(B7="","",'Índice TORTA'!I7)</f>
        <v/>
      </c>
      <c r="I7" s="71" t="str">
        <f t="shared" si="0"/>
        <v/>
      </c>
      <c r="J7" s="71" t="str">
        <f t="shared" si="1"/>
        <v/>
      </c>
      <c r="K7" s="71" t="str">
        <f t="shared" si="2"/>
        <v/>
      </c>
      <c r="L7" s="53"/>
      <c r="M7" s="212"/>
      <c r="N7" s="213">
        <f t="shared" si="3"/>
        <v>0</v>
      </c>
      <c r="O7" s="213" t="str">
        <f t="shared" si="4"/>
        <v>Revisar puntaje</v>
      </c>
      <c r="P7" s="214"/>
      <c r="Q7" s="203"/>
      <c r="R7" s="204"/>
      <c r="S7" s="204"/>
      <c r="T7" s="205"/>
      <c r="U7" s="112">
        <f t="shared" si="5"/>
        <v>0</v>
      </c>
      <c r="V7" s="113" t="str">
        <f t="shared" si="6"/>
        <v>Revisar puntaje</v>
      </c>
    </row>
    <row r="8" spans="1:22" ht="55" customHeight="1" x14ac:dyDescent="0.2">
      <c r="A8" s="71">
        <v>4</v>
      </c>
      <c r="B8" s="71" t="str">
        <f>IF('Inventario del Portafolio'!B9="","",'Inventario del Portafolio'!B9)</f>
        <v/>
      </c>
      <c r="C8" s="105" t="str">
        <f>IF(B8="","",'Inventario del Portafolio'!E9)</f>
        <v/>
      </c>
      <c r="D8" s="106" t="str">
        <f>IF(B8="","",'Inventario del Portafolio'!J9)</f>
        <v/>
      </c>
      <c r="E8" s="107" t="str">
        <f>IF(B8="","",'Índice PAN'!H8)</f>
        <v/>
      </c>
      <c r="F8" s="71" t="str">
        <f>IF(B8="","",'Índice PAN'!I8)</f>
        <v/>
      </c>
      <c r="G8" s="71" t="str">
        <f>IF(B8="","",'Índice TORTA'!H8)</f>
        <v/>
      </c>
      <c r="H8" s="71" t="str">
        <f>IF(B8="","",'Índice TORTA'!I8)</f>
        <v/>
      </c>
      <c r="I8" s="71" t="str">
        <f t="shared" si="0"/>
        <v/>
      </c>
      <c r="J8" s="71" t="str">
        <f t="shared" si="1"/>
        <v/>
      </c>
      <c r="K8" s="71" t="str">
        <f t="shared" si="2"/>
        <v/>
      </c>
      <c r="L8" s="53"/>
      <c r="M8" s="212"/>
      <c r="N8" s="213">
        <f t="shared" si="3"/>
        <v>0</v>
      </c>
      <c r="O8" s="213" t="str">
        <f t="shared" si="4"/>
        <v>Revisar puntaje</v>
      </c>
      <c r="P8" s="214"/>
      <c r="Q8" s="203"/>
      <c r="R8" s="204"/>
      <c r="S8" s="204"/>
      <c r="T8" s="205"/>
      <c r="U8" s="112">
        <f t="shared" si="5"/>
        <v>0</v>
      </c>
      <c r="V8" s="113" t="str">
        <f t="shared" si="6"/>
        <v>Revisar puntaje</v>
      </c>
    </row>
    <row r="9" spans="1:22" ht="55" customHeight="1" x14ac:dyDescent="0.2">
      <c r="A9" s="71">
        <v>5</v>
      </c>
      <c r="B9" s="71" t="str">
        <f>IF('Inventario del Portafolio'!B10="","",'Inventario del Portafolio'!B10)</f>
        <v/>
      </c>
      <c r="C9" s="105" t="str">
        <f>IF(B9="","",'Inventario del Portafolio'!E10)</f>
        <v/>
      </c>
      <c r="D9" s="106" t="str">
        <f>IF(B9="","",'Inventario del Portafolio'!J10)</f>
        <v/>
      </c>
      <c r="E9" s="107" t="str">
        <f>IF(B9="","",'Índice PAN'!H9)</f>
        <v/>
      </c>
      <c r="F9" s="71" t="str">
        <f>IF(B9="","",'Índice PAN'!I9)</f>
        <v/>
      </c>
      <c r="G9" s="71" t="str">
        <f>IF(B9="","",'Índice TORTA'!H9)</f>
        <v/>
      </c>
      <c r="H9" s="71" t="str">
        <f>IF(B9="","",'Índice TORTA'!I9)</f>
        <v/>
      </c>
      <c r="I9" s="71" t="str">
        <f t="shared" si="0"/>
        <v/>
      </c>
      <c r="J9" s="71" t="str">
        <f t="shared" si="1"/>
        <v/>
      </c>
      <c r="K9" s="71" t="str">
        <f t="shared" si="2"/>
        <v/>
      </c>
      <c r="L9" s="53"/>
      <c r="M9" s="212"/>
      <c r="N9" s="213">
        <f t="shared" si="3"/>
        <v>0</v>
      </c>
      <c r="O9" s="213" t="str">
        <f t="shared" si="4"/>
        <v>Revisar puntaje</v>
      </c>
      <c r="P9" s="214"/>
      <c r="Q9" s="203"/>
      <c r="R9" s="204"/>
      <c r="S9" s="204"/>
      <c r="T9" s="205"/>
      <c r="U9" s="112">
        <f t="shared" si="5"/>
        <v>0</v>
      </c>
      <c r="V9" s="113" t="str">
        <f t="shared" si="6"/>
        <v>Revisar puntaje</v>
      </c>
    </row>
    <row r="10" spans="1:22" ht="55" customHeight="1" x14ac:dyDescent="0.2">
      <c r="A10" s="71">
        <v>6</v>
      </c>
      <c r="B10" s="71" t="str">
        <f>IF('Inventario del Portafolio'!B11="","",'Inventario del Portafolio'!B11)</f>
        <v/>
      </c>
      <c r="C10" s="105" t="str">
        <f>IF(B10="","",'Inventario del Portafolio'!E11)</f>
        <v/>
      </c>
      <c r="D10" s="106" t="str">
        <f>IF(B10="","",'Inventario del Portafolio'!J11)</f>
        <v/>
      </c>
      <c r="E10" s="107" t="str">
        <f>IF(B10="","",'Índice PAN'!H10)</f>
        <v/>
      </c>
      <c r="F10" s="71" t="str">
        <f>IF(B10="","",'Índice PAN'!I10)</f>
        <v/>
      </c>
      <c r="G10" s="71" t="str">
        <f>IF(B10="","",'Índice TORTA'!H10)</f>
        <v/>
      </c>
      <c r="H10" s="71" t="str">
        <f>IF(B10="","",'Índice TORTA'!I10)</f>
        <v/>
      </c>
      <c r="I10" s="71" t="str">
        <f t="shared" si="0"/>
        <v/>
      </c>
      <c r="J10" s="71" t="str">
        <f t="shared" si="1"/>
        <v/>
      </c>
      <c r="K10" s="71" t="str">
        <f t="shared" si="2"/>
        <v/>
      </c>
      <c r="L10" s="53"/>
      <c r="M10" s="215"/>
      <c r="N10" s="216">
        <f>SUM(I10:M10)</f>
        <v>0</v>
      </c>
      <c r="O10" s="216" t="str">
        <f>IF(N10="","",IF(N10&lt;5,"Revisar puntaje",IF(N10&lt;=10,"No funciona como pan",IF(N10&lt;=15,"Pan débil",IF(N10&lt;=20,"Buen producto pan","Excelente producto pan")))))</f>
        <v>Revisar puntaje</v>
      </c>
      <c r="P10" s="217"/>
      <c r="Q10" s="206"/>
      <c r="R10" s="207"/>
      <c r="S10" s="207"/>
      <c r="T10" s="208"/>
      <c r="U10" s="112">
        <f t="shared" si="5"/>
        <v>0</v>
      </c>
      <c r="V10" s="113" t="str">
        <f t="shared" si="6"/>
        <v>Revisar puntaje</v>
      </c>
    </row>
    <row r="11" spans="1:22" ht="55" customHeight="1" x14ac:dyDescent="0.2">
      <c r="A11" s="71">
        <v>7</v>
      </c>
      <c r="B11" s="71" t="str">
        <f>IF('Inventario del Portafolio'!B12="","",'Inventario del Portafolio'!B12)</f>
        <v/>
      </c>
      <c r="C11" s="105" t="str">
        <f>IF(B11="","",'Inventario del Portafolio'!E12)</f>
        <v/>
      </c>
      <c r="D11" s="106" t="str">
        <f>IF(B11="","",'Inventario del Portafolio'!J12)</f>
        <v/>
      </c>
      <c r="E11" s="107" t="str">
        <f>IF(B11="","",'Índice PAN'!H11)</f>
        <v/>
      </c>
      <c r="F11" s="71" t="str">
        <f>IF(B11="","",'Índice PAN'!I11)</f>
        <v/>
      </c>
      <c r="G11" s="71" t="str">
        <f>IF(B11="","",'Índice TORTA'!H11)</f>
        <v/>
      </c>
      <c r="H11" s="71" t="str">
        <f>IF(B11="","",'Índice TORTA'!I11)</f>
        <v/>
      </c>
      <c r="I11" s="71" t="str">
        <f t="shared" si="0"/>
        <v/>
      </c>
      <c r="J11" s="71" t="str">
        <f t="shared" si="1"/>
        <v/>
      </c>
      <c r="K11" s="71" t="str">
        <f t="shared" si="2"/>
        <v/>
      </c>
      <c r="L11" s="53"/>
      <c r="M11" s="191" t="s">
        <v>191</v>
      </c>
      <c r="N11" s="192">
        <f t="shared" si="3"/>
        <v>0</v>
      </c>
      <c r="O11" s="192" t="str">
        <f t="shared" si="4"/>
        <v>Revisar puntaje</v>
      </c>
      <c r="P11" s="193"/>
      <c r="Q11" s="182" t="s">
        <v>192</v>
      </c>
      <c r="R11" s="183"/>
      <c r="S11" s="183"/>
      <c r="T11" s="184"/>
      <c r="U11" s="112">
        <f t="shared" si="5"/>
        <v>0</v>
      </c>
      <c r="V11" s="113" t="str">
        <f t="shared" si="6"/>
        <v>Revisar puntaje</v>
      </c>
    </row>
    <row r="12" spans="1:22" ht="55" customHeight="1" x14ac:dyDescent="0.2">
      <c r="A12" s="71">
        <v>8</v>
      </c>
      <c r="B12" s="71" t="str">
        <f>IF('Inventario del Portafolio'!B13="","",'Inventario del Portafolio'!B13)</f>
        <v/>
      </c>
      <c r="C12" s="105" t="str">
        <f>IF(B12="","",'Inventario del Portafolio'!E13)</f>
        <v/>
      </c>
      <c r="D12" s="106" t="str">
        <f>IF(B12="","",'Inventario del Portafolio'!J13)</f>
        <v/>
      </c>
      <c r="E12" s="107" t="str">
        <f>IF(B12="","",'Índice PAN'!H12)</f>
        <v/>
      </c>
      <c r="F12" s="71" t="str">
        <f>IF(B12="","",'Índice PAN'!I12)</f>
        <v/>
      </c>
      <c r="G12" s="71" t="str">
        <f>IF(B12="","",'Índice TORTA'!H12)</f>
        <v/>
      </c>
      <c r="H12" s="71" t="str">
        <f>IF(B12="","",'Índice TORTA'!I12)</f>
        <v/>
      </c>
      <c r="I12" s="71" t="str">
        <f t="shared" si="0"/>
        <v/>
      </c>
      <c r="J12" s="71" t="str">
        <f t="shared" si="1"/>
        <v/>
      </c>
      <c r="K12" s="71" t="str">
        <f t="shared" si="2"/>
        <v/>
      </c>
      <c r="L12" s="53"/>
      <c r="M12" s="194"/>
      <c r="N12" s="195">
        <f t="shared" si="3"/>
        <v>0</v>
      </c>
      <c r="O12" s="195" t="str">
        <f t="shared" si="4"/>
        <v>Revisar puntaje</v>
      </c>
      <c r="P12" s="196"/>
      <c r="Q12" s="185"/>
      <c r="R12" s="186"/>
      <c r="S12" s="186"/>
      <c r="T12" s="187"/>
      <c r="U12" s="112">
        <f t="shared" si="5"/>
        <v>0</v>
      </c>
      <c r="V12" s="113" t="str">
        <f t="shared" si="6"/>
        <v>Revisar puntaje</v>
      </c>
    </row>
    <row r="13" spans="1:22" ht="55" customHeight="1" x14ac:dyDescent="0.2">
      <c r="A13" s="71">
        <v>9</v>
      </c>
      <c r="B13" s="71" t="str">
        <f>IF('Inventario del Portafolio'!B14="","",'Inventario del Portafolio'!B14)</f>
        <v/>
      </c>
      <c r="C13" s="105" t="str">
        <f>IF(B13="","",'Inventario del Portafolio'!E14)</f>
        <v/>
      </c>
      <c r="D13" s="106" t="str">
        <f>IF(B13="","",'Inventario del Portafolio'!J14)</f>
        <v/>
      </c>
      <c r="E13" s="107"/>
      <c r="F13" s="71" t="str">
        <f>IF(B13="","",'Índice PAN'!I13)</f>
        <v/>
      </c>
      <c r="G13" s="71" t="str">
        <f>IF(B13="","",'Índice TORTA'!H13)</f>
        <v/>
      </c>
      <c r="H13" s="71" t="str">
        <f>IF(B13="","",'Índice TORTA'!I13)</f>
        <v/>
      </c>
      <c r="I13" s="71" t="str">
        <f t="shared" si="0"/>
        <v/>
      </c>
      <c r="J13" s="71" t="str">
        <f t="shared" si="1"/>
        <v/>
      </c>
      <c r="K13" s="71" t="str">
        <f t="shared" si="2"/>
        <v/>
      </c>
      <c r="L13" s="53"/>
      <c r="M13" s="194"/>
      <c r="N13" s="195">
        <f t="shared" si="3"/>
        <v>0</v>
      </c>
      <c r="O13" s="195" t="str">
        <f t="shared" si="4"/>
        <v>Revisar puntaje</v>
      </c>
      <c r="P13" s="196"/>
      <c r="Q13" s="185"/>
      <c r="R13" s="186"/>
      <c r="S13" s="186"/>
      <c r="T13" s="187"/>
      <c r="U13" s="112">
        <f t="shared" si="5"/>
        <v>0</v>
      </c>
      <c r="V13" s="113" t="str">
        <f t="shared" si="6"/>
        <v>Revisar puntaje</v>
      </c>
    </row>
    <row r="14" spans="1:22" ht="55" customHeight="1" x14ac:dyDescent="0.2">
      <c r="A14" s="71">
        <v>10</v>
      </c>
      <c r="B14" s="71" t="str">
        <f>IF('Inventario del Portafolio'!B15="","",'Inventario del Portafolio'!B15)</f>
        <v/>
      </c>
      <c r="C14" s="105" t="str">
        <f>IF(B14="","",'Inventario del Portafolio'!E15)</f>
        <v/>
      </c>
      <c r="D14" s="106" t="str">
        <f>IF(B14="","",'Inventario del Portafolio'!J15)</f>
        <v/>
      </c>
      <c r="E14" s="107"/>
      <c r="F14" s="71" t="str">
        <f>IF(B14="","",'Índice PAN'!I14)</f>
        <v/>
      </c>
      <c r="G14" s="71" t="str">
        <f>IF(B14="","",'Índice TORTA'!H14)</f>
        <v/>
      </c>
      <c r="H14" s="71" t="str">
        <f>IF(B14="","",'Índice TORTA'!I14)</f>
        <v/>
      </c>
      <c r="I14" s="71" t="str">
        <f t="shared" si="0"/>
        <v/>
      </c>
      <c r="J14" s="71" t="str">
        <f t="shared" si="1"/>
        <v/>
      </c>
      <c r="K14" s="71" t="str">
        <f t="shared" si="2"/>
        <v/>
      </c>
      <c r="L14" s="53"/>
      <c r="M14" s="197"/>
      <c r="N14" s="198">
        <f t="shared" si="3"/>
        <v>0</v>
      </c>
      <c r="O14" s="198" t="str">
        <f t="shared" si="4"/>
        <v>Revisar puntaje</v>
      </c>
      <c r="P14" s="199"/>
      <c r="Q14" s="188"/>
      <c r="R14" s="189"/>
      <c r="S14" s="189"/>
      <c r="T14" s="190"/>
      <c r="U14" s="112">
        <f t="shared" si="5"/>
        <v>0</v>
      </c>
      <c r="V14" s="113" t="str">
        <f t="shared" si="6"/>
        <v>Revisar puntaje</v>
      </c>
    </row>
    <row r="15" spans="1:22" ht="57" customHeight="1" x14ac:dyDescent="0.2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53"/>
      <c r="M15" s="108"/>
      <c r="N15" s="108"/>
      <c r="O15" s="108"/>
      <c r="P15" s="108"/>
      <c r="Q15" s="109"/>
      <c r="R15" s="109"/>
      <c r="S15" s="109"/>
      <c r="T15" s="109"/>
      <c r="U15" s="19"/>
      <c r="V15" s="19"/>
    </row>
    <row r="16" spans="1:22" ht="57" customHeight="1" x14ac:dyDescent="0.2">
      <c r="B16" s="4"/>
      <c r="C16" s="4"/>
      <c r="D16" s="4"/>
      <c r="E16" s="4"/>
      <c r="F16" s="4"/>
      <c r="G16" s="4"/>
      <c r="H16" s="73" t="s">
        <v>184</v>
      </c>
      <c r="I16" s="73" t="s">
        <v>193</v>
      </c>
      <c r="J16" s="4"/>
      <c r="K16" s="4"/>
      <c r="L16" s="53"/>
      <c r="M16" s="108"/>
      <c r="N16" s="108"/>
      <c r="O16" s="108"/>
      <c r="P16" s="108"/>
      <c r="Q16" s="109"/>
      <c r="R16" s="109"/>
      <c r="S16" s="109"/>
      <c r="T16" s="109"/>
      <c r="U16" s="19"/>
      <c r="V16" s="19"/>
    </row>
    <row r="17" spans="2:22" ht="57" customHeight="1" x14ac:dyDescent="0.2">
      <c r="B17" s="20"/>
      <c r="C17" s="20"/>
      <c r="D17" s="20"/>
      <c r="E17" s="19"/>
      <c r="F17" s="19"/>
      <c r="G17" s="19"/>
      <c r="H17" s="87" t="s">
        <v>108</v>
      </c>
      <c r="I17" s="87">
        <f>COUNTIF(I5:I14,"ESTRELLA")</f>
        <v>0</v>
      </c>
      <c r="J17" s="19"/>
      <c r="K17" s="19"/>
      <c r="O17" s="19"/>
      <c r="P17" s="19"/>
      <c r="Q17" s="19"/>
      <c r="R17" s="19"/>
      <c r="S17" s="19"/>
      <c r="T17" s="19"/>
      <c r="U17" s="19"/>
      <c r="V17" s="19"/>
    </row>
    <row r="18" spans="2:22" ht="57" customHeight="1" x14ac:dyDescent="0.2">
      <c r="B18" s="22"/>
      <c r="C18" s="22"/>
      <c r="D18" s="22"/>
      <c r="E18" s="19"/>
      <c r="F18" s="19"/>
      <c r="G18" s="19"/>
      <c r="H18" s="87" t="s">
        <v>106</v>
      </c>
      <c r="I18" s="87">
        <f>COUNTIF(I5:I14,"PAN")</f>
        <v>0</v>
      </c>
      <c r="J18" s="19"/>
      <c r="K18" s="19"/>
      <c r="O18" s="19"/>
      <c r="P18" s="19"/>
      <c r="Q18" s="19"/>
      <c r="R18" s="19"/>
      <c r="S18" s="19"/>
      <c r="T18" s="19"/>
      <c r="U18" s="19"/>
      <c r="V18" s="19"/>
    </row>
    <row r="19" spans="2:22" ht="57" customHeight="1" x14ac:dyDescent="0.2">
      <c r="B19" s="22"/>
      <c r="C19" s="22"/>
      <c r="D19" s="22"/>
      <c r="E19" s="19"/>
      <c r="F19" s="19"/>
      <c r="G19" s="19"/>
      <c r="H19" s="87" t="s">
        <v>107</v>
      </c>
      <c r="I19" s="87">
        <f>COUNTIF(I5:I14,"TORTA")</f>
        <v>0</v>
      </c>
      <c r="J19" s="19"/>
      <c r="K19" s="19"/>
      <c r="O19" s="19"/>
      <c r="P19" s="23"/>
      <c r="Q19" s="23"/>
      <c r="R19" s="23"/>
      <c r="S19" s="23"/>
      <c r="T19" s="19"/>
      <c r="U19" s="19"/>
      <c r="V19" s="19"/>
    </row>
    <row r="20" spans="2:22" ht="57" customHeight="1" x14ac:dyDescent="0.2">
      <c r="B20" s="22"/>
      <c r="C20" s="22"/>
      <c r="D20" s="22"/>
      <c r="E20" s="19"/>
      <c r="F20" s="19"/>
      <c r="G20" s="19"/>
      <c r="H20" s="87" t="s">
        <v>194</v>
      </c>
      <c r="I20" s="87">
        <f>COUNTIF(I5:I14,"LASTRE")</f>
        <v>0</v>
      </c>
      <c r="J20" s="19"/>
      <c r="K20" s="19"/>
      <c r="O20" s="19"/>
      <c r="P20" s="19"/>
      <c r="Q20" s="19"/>
      <c r="R20" s="19"/>
      <c r="S20" s="19"/>
      <c r="T20" s="19"/>
      <c r="U20" s="19"/>
      <c r="V20" s="19"/>
    </row>
    <row r="21" spans="2:22" ht="57" customHeight="1" x14ac:dyDescent="0.2">
      <c r="B21" s="22"/>
      <c r="C21" s="22"/>
      <c r="D21" s="22"/>
      <c r="E21" s="19"/>
      <c r="F21" s="19"/>
      <c r="G21" s="19"/>
      <c r="J21" s="19"/>
      <c r="K21" s="19"/>
      <c r="O21" s="19"/>
      <c r="P21" s="19"/>
      <c r="Q21" s="19"/>
      <c r="R21" s="19"/>
      <c r="S21" s="19"/>
      <c r="T21" s="19"/>
      <c r="U21" s="19"/>
      <c r="V21" s="19"/>
    </row>
    <row r="22" spans="2:22" ht="57" customHeight="1" thickBot="1" x14ac:dyDescent="0.25">
      <c r="B22" s="22"/>
      <c r="C22" s="22"/>
      <c r="D22" s="22"/>
      <c r="E22" s="19"/>
      <c r="F22" s="19"/>
      <c r="G22" s="19"/>
      <c r="J22" s="19"/>
      <c r="K22" s="19"/>
      <c r="O22" s="19"/>
      <c r="P22" s="19"/>
      <c r="Q22" s="19"/>
      <c r="R22" s="19"/>
      <c r="S22" s="19"/>
      <c r="T22" s="19"/>
      <c r="U22" s="19"/>
      <c r="V22" s="19"/>
    </row>
    <row r="23" spans="2:22" ht="58.75" customHeight="1" x14ac:dyDescent="0.2">
      <c r="P23" s="7"/>
      <c r="Q23" s="7"/>
      <c r="R23" s="7"/>
      <c r="S23" s="7"/>
    </row>
  </sheetData>
  <mergeCells count="8">
    <mergeCell ref="A1:T1"/>
    <mergeCell ref="R2:T2"/>
    <mergeCell ref="M5:P10"/>
    <mergeCell ref="Q5:T10"/>
    <mergeCell ref="M11:P16"/>
    <mergeCell ref="Q11:T16"/>
    <mergeCell ref="M3:T3"/>
    <mergeCell ref="L5:L16"/>
  </mergeCells>
  <conditionalFormatting sqref="I5:I14">
    <cfRule type="expression" dxfId="10" priority="1">
      <formula>I5="ESTRELLA"</formula>
    </cfRule>
    <cfRule type="expression" dxfId="9" priority="2">
      <formula>I5="PAN"</formula>
    </cfRule>
    <cfRule type="expression" dxfId="8" priority="3">
      <formula>I5="TORTA"</formula>
    </cfRule>
    <cfRule type="expression" dxfId="7" priority="4">
      <formula>I5="LASTRE"</formula>
    </cfRule>
  </conditionalFormatting>
  <pageMargins left="0.25" right="0.25" top="0.75" bottom="0.75" header="0.3" footer="0.3"/>
  <pageSetup paperSize="9" scale="37" orientation="landscape" horizontalDpi="0" verticalDpi="0" copies="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6"/>
  <sheetViews>
    <sheetView topLeftCell="A5" zoomScale="99" workbookViewId="0">
      <selection activeCell="F24" sqref="F24"/>
    </sheetView>
  </sheetViews>
  <sheetFormatPr baseColWidth="10" defaultRowHeight="16" x14ac:dyDescent="0.2"/>
  <cols>
    <col min="1" max="1" width="34" customWidth="1"/>
    <col min="2" max="2" width="20" customWidth="1"/>
    <col min="3" max="3" width="22.83203125" customWidth="1"/>
    <col min="4" max="4" width="20" customWidth="1"/>
  </cols>
  <sheetData>
    <row r="1" spans="1:4" ht="67.75" customHeight="1" x14ac:dyDescent="0.2">
      <c r="A1" s="49" t="s">
        <v>110</v>
      </c>
      <c r="B1" s="49"/>
      <c r="C1" s="49"/>
      <c r="D1" s="49"/>
    </row>
    <row r="2" spans="1:4" ht="44.25" customHeight="1" x14ac:dyDescent="0.2">
      <c r="A2" s="80" t="s">
        <v>111</v>
      </c>
      <c r="B2" s="8"/>
      <c r="C2" s="8"/>
      <c r="D2" s="54" t="s">
        <v>112</v>
      </c>
    </row>
    <row r="3" spans="1:4" ht="62.25" customHeight="1" x14ac:dyDescent="0.2">
      <c r="D3" s="55"/>
    </row>
    <row r="4" spans="1:4" ht="48" customHeight="1" x14ac:dyDescent="0.2">
      <c r="A4" s="73" t="s">
        <v>113</v>
      </c>
      <c r="B4" s="73" t="s">
        <v>114</v>
      </c>
      <c r="C4" s="73" t="s">
        <v>115</v>
      </c>
      <c r="D4" s="73" t="s">
        <v>116</v>
      </c>
    </row>
    <row r="5" spans="1:4" ht="48" customHeight="1" x14ac:dyDescent="0.2">
      <c r="A5" s="72" t="s">
        <v>117</v>
      </c>
      <c r="B5" s="91"/>
      <c r="C5" s="91"/>
      <c r="D5" s="91"/>
    </row>
    <row r="6" spans="1:4" ht="48" customHeight="1" x14ac:dyDescent="0.2">
      <c r="A6" s="72" t="s">
        <v>95</v>
      </c>
      <c r="B6" s="114" t="str">
        <f>IFERROR(INDEX('Inventario del Portafolio'!$C$6:$C$15,MATCH(B$5,'Inventario del Portafolio'!$B$6:$B$15,0)),"")</f>
        <v/>
      </c>
      <c r="C6" s="114" t="str">
        <f>IFERROR(INDEX('Inventario del Portafolio'!$C$6:$C$15,MATCH(C$5,'Inventario del Portafolio'!$B$6:$B$15,0)),"")</f>
        <v/>
      </c>
      <c r="D6" s="114" t="str">
        <f>IFERROR(INDEX('Inventario del Portafolio'!$C$6:$C$15,MATCH(D$5,'Inventario del Portafolio'!$B$6:$B$15,0)),"")</f>
        <v/>
      </c>
    </row>
    <row r="7" spans="1:4" ht="48" customHeight="1" x14ac:dyDescent="0.2">
      <c r="A7" s="72" t="s">
        <v>96</v>
      </c>
      <c r="B7" s="115" t="str">
        <f>IFERROR(INDEX('Inventario del Portafolio'!$D$6:$D$15,MATCH(B$5,'Inventario del Portafolio'!$B$6:$B$15,0)),"")</f>
        <v/>
      </c>
      <c r="C7" s="115" t="str">
        <f>IFERROR(INDEX('Inventario del Portafolio'!$D$6:$D$15,MATCH(C$5,'Inventario del Portafolio'!$B$6:$B$15,0)),"")</f>
        <v/>
      </c>
      <c r="D7" s="115" t="str">
        <f>IFERROR(INDEX('Inventario del Portafolio'!$D$6:$D$15,MATCH(D$5,'Inventario del Portafolio'!$B$6:$B$15,0)),"")</f>
        <v/>
      </c>
    </row>
    <row r="8" spans="1:4" ht="48" customHeight="1" x14ac:dyDescent="0.2">
      <c r="A8" s="72" t="s">
        <v>118</v>
      </c>
      <c r="B8" s="114" t="str">
        <f>IF(OR(B6="",B7=""),"",B6*B7)</f>
        <v/>
      </c>
      <c r="C8" s="114" t="str">
        <f>IF(OR(C6="",C7=""),"",C6*C7)</f>
        <v/>
      </c>
      <c r="D8" s="114" t="str">
        <f>IF(OR(D6="",D7=""),"",D6*D7)</f>
        <v/>
      </c>
    </row>
    <row r="9" spans="1:4" ht="48" customHeight="1" x14ac:dyDescent="0.2">
      <c r="A9" s="72" t="s">
        <v>119</v>
      </c>
      <c r="B9" s="116"/>
      <c r="C9" s="116"/>
      <c r="D9" s="116"/>
    </row>
    <row r="10" spans="1:4" ht="48" customHeight="1" x14ac:dyDescent="0.2">
      <c r="A10" s="72" t="s">
        <v>120</v>
      </c>
      <c r="B10" s="117" t="str">
        <f>IF(OR(B7="",B9=""),"",B7*B9)</f>
        <v/>
      </c>
      <c r="C10" s="117" t="str">
        <f>IF(OR(C7="",C9=""),"",C7*C9)</f>
        <v/>
      </c>
      <c r="D10" s="117" t="str">
        <f>IF(OR(D7="",D9=""),"",D7*D9)</f>
        <v/>
      </c>
    </row>
    <row r="11" spans="1:4" ht="48" customHeight="1" x14ac:dyDescent="0.2">
      <c r="A11" s="72" t="s">
        <v>121</v>
      </c>
      <c r="B11" s="118" t="str">
        <f>IFERROR(INDEX('Inventario del Portafolio'!$G$6:$G$15,MATCH(B$5,'Inventario del Portafolio'!$B$6:$B$15,0)),"")</f>
        <v/>
      </c>
      <c r="C11" s="118" t="str">
        <f>IFERROR(INDEX('Inventario del Portafolio'!$G$6:$G$15,MATCH(C$5,'Inventario del Portafolio'!$B$6:$B$15,0)),"")</f>
        <v/>
      </c>
      <c r="D11" s="118" t="str">
        <f>IFERROR(INDEX('Inventario del Portafolio'!$G$6:$G$15,MATCH(D$5,'Inventario del Portafolio'!$B$6:$B$15,0)),"")</f>
        <v/>
      </c>
    </row>
    <row r="12" spans="1:4" ht="48" customHeight="1" x14ac:dyDescent="0.2">
      <c r="A12" s="72" t="s">
        <v>100</v>
      </c>
      <c r="B12" s="119" t="str">
        <f>IF(OR(B7="",B11=""),"",B7*B11)</f>
        <v/>
      </c>
      <c r="C12" s="118" t="str">
        <f>IF(OR(C7="",C11=""),"",C7*C11)</f>
        <v/>
      </c>
      <c r="D12" s="118" t="str">
        <f>IF(OR(D7="",D11=""),"",D7*D11)</f>
        <v/>
      </c>
    </row>
    <row r="13" spans="1:4" ht="48" customHeight="1" x14ac:dyDescent="0.2">
      <c r="A13" s="72" t="s">
        <v>122</v>
      </c>
      <c r="B13" s="116"/>
      <c r="C13" s="116"/>
      <c r="D13" s="116"/>
    </row>
    <row r="14" spans="1:4" ht="48" customHeight="1" x14ac:dyDescent="0.2">
      <c r="A14" s="72" t="s">
        <v>123</v>
      </c>
      <c r="B14" s="117" t="str">
        <f>IF(OR(B12="",B13=""),"",B12*B13)</f>
        <v/>
      </c>
      <c r="C14" s="117" t="str">
        <f>IF(OR(C12="",C13=""),"",C12*C13)</f>
        <v/>
      </c>
      <c r="D14" s="117" t="str">
        <f>IF(OR(D12="",D13=""),"",D12*D13)</f>
        <v/>
      </c>
    </row>
    <row r="15" spans="1:4" ht="48" customHeight="1" x14ac:dyDescent="0.2">
      <c r="A15" s="72" t="s">
        <v>124</v>
      </c>
      <c r="B15" s="116"/>
      <c r="C15" s="116"/>
      <c r="D15" s="116"/>
    </row>
    <row r="16" spans="1:4" ht="48" customHeight="1" x14ac:dyDescent="0.2">
      <c r="A16" s="72" t="s">
        <v>125</v>
      </c>
      <c r="B16" s="114" t="str">
        <f>IF(B8="","",B8-B10-B14-B15)</f>
        <v/>
      </c>
      <c r="C16" s="114" t="str">
        <f>IF(C8="","",C8-C10-C14-C15)</f>
        <v/>
      </c>
      <c r="D16" s="114" t="str">
        <f>IF(D8="","",D8-D10-D14-D15)</f>
        <v/>
      </c>
    </row>
    <row r="17" spans="1:4" ht="48" customHeight="1" x14ac:dyDescent="0.2">
      <c r="A17" s="72" t="s">
        <v>126</v>
      </c>
      <c r="B17" s="120" t="str">
        <f>IF(OR(B16="",B8=""),"",B16/B8)</f>
        <v/>
      </c>
      <c r="C17" s="120" t="str">
        <f>IF(OR(C16="",C8=""),"",C16/C8)</f>
        <v/>
      </c>
      <c r="D17" s="120" t="str">
        <f>IF(OR(D16="",D8=""),"",D16/D8)</f>
        <v/>
      </c>
    </row>
    <row r="18" spans="1:4" ht="48" customHeight="1" x14ac:dyDescent="0.2">
      <c r="A18" s="72" t="s">
        <v>127</v>
      </c>
      <c r="B18" s="114" t="str">
        <f>IF(OR(B16="",B12=""),"",IFERROR(B16/B12,0))</f>
        <v/>
      </c>
      <c r="C18" s="114" t="str">
        <f>IF(OR(C16="",C12=""),"",IFERROR(C16/C12,0))</f>
        <v/>
      </c>
      <c r="D18" s="114" t="str">
        <f>IF(OR(D16="",D12=""),"",IFERROR(D16/D12,0))</f>
        <v/>
      </c>
    </row>
    <row r="19" spans="1:4" ht="48" customHeight="1" x14ac:dyDescent="0.2">
      <c r="A19" s="72" t="s">
        <v>128</v>
      </c>
      <c r="B19" s="121"/>
      <c r="C19" s="121"/>
      <c r="D19" s="121"/>
    </row>
    <row r="20" spans="1:4" ht="48" customHeight="1" x14ac:dyDescent="0.2">
      <c r="A20" s="72" t="s">
        <v>129</v>
      </c>
      <c r="B20" s="121"/>
      <c r="C20" s="121"/>
      <c r="D20" s="121"/>
    </row>
    <row r="21" spans="1:4" ht="48" customHeight="1" x14ac:dyDescent="0.2">
      <c r="A21" s="72" t="s">
        <v>130</v>
      </c>
      <c r="B21" s="91"/>
      <c r="C21" s="91"/>
      <c r="D21" s="91"/>
    </row>
    <row r="22" spans="1:4" ht="48" customHeight="1" x14ac:dyDescent="0.2">
      <c r="A22" s="72" t="s">
        <v>131</v>
      </c>
      <c r="B22" s="91"/>
      <c r="C22" s="91"/>
      <c r="D22" s="91"/>
    </row>
    <row r="23" spans="1:4" ht="48" customHeight="1" x14ac:dyDescent="0.2">
      <c r="A23" s="72" t="s">
        <v>132</v>
      </c>
      <c r="B23" s="91"/>
      <c r="C23" s="91"/>
      <c r="D23" s="91"/>
    </row>
    <row r="24" spans="1:4" ht="48" customHeight="1" x14ac:dyDescent="0.2">
      <c r="A24" s="72" t="s">
        <v>133</v>
      </c>
      <c r="B24" s="91"/>
      <c r="C24" s="91"/>
      <c r="D24" s="91"/>
    </row>
    <row r="25" spans="1:4" ht="48" customHeight="1" x14ac:dyDescent="0.2">
      <c r="A25" s="72" t="s">
        <v>134</v>
      </c>
      <c r="B25" s="122" t="str">
        <f>IF(COUNT(B21:B24)&lt;4,"",SUM(B21:B24))</f>
        <v/>
      </c>
      <c r="C25" s="122" t="str">
        <f>IF(COUNT(C21:C24)&lt;4,"",SUM(C21:C24))</f>
        <v/>
      </c>
      <c r="D25" s="122" t="str">
        <f>IF(COUNT(D21:D24)&lt;4,"",SUM(D21:D24))</f>
        <v/>
      </c>
    </row>
    <row r="26" spans="1:4" ht="48" customHeight="1" x14ac:dyDescent="0.2">
      <c r="A26" s="72" t="s">
        <v>76</v>
      </c>
      <c r="B26" s="122" t="str">
        <f>IF(B25="","Completa los cuatro puntajes",IF(B25&lt;=8,"Economía débil",IF(B25&lt;=12,"Economía frágil",IF(B25&lt;=16,"Economía saludable","Motor económico"))))</f>
        <v>Completa los cuatro puntajes</v>
      </c>
      <c r="C26" s="122" t="str">
        <f>IF(C25="","Completa los cuatro puntajes",IF(C25&lt;=8,"Economía débil",IF(C25&lt;=12,"Economía frágil",IF(C25&lt;=16,"Economía saludable","Motor económico"))))</f>
        <v>Completa los cuatro puntajes</v>
      </c>
      <c r="D26" s="122" t="str">
        <f>IF(D25="","Completa los cuatro puntajes",IF(D25&lt;=8,"Economía débil",IF(D25&lt;=12,"Economía frágil",IF(D25&lt;=16,"Economía saludable","Motor económico"))))</f>
        <v>Completa los cuatro puntajes</v>
      </c>
    </row>
  </sheetData>
  <mergeCells count="2">
    <mergeCell ref="A1:D1"/>
    <mergeCell ref="D2:D3"/>
  </mergeCells>
  <conditionalFormatting sqref="B21:D24">
    <cfRule type="colorScale" priority="1">
      <colorScale>
        <cfvo type="min"/>
        <cfvo type="percentile" val="50"/>
        <cfvo type="max"/>
        <color rgb="FFF4CCCC"/>
        <color rgb="FFFFF2CC"/>
        <color rgb="FFC6EFCE"/>
      </colorScale>
    </cfRule>
  </conditionalFormatting>
  <dataValidations count="1">
    <dataValidation type="list" sqref="B21:D24" xr:uid="{00000000-0002-0000-0200-000000000000}">
      <formula1>"1,2,3,4,5"</formula1>
    </dataValidation>
  </dataValidations>
  <pageMargins left="0.25" right="0.25" top="0.75" bottom="0.75" header="0.3" footer="0.3"/>
  <pageSetup paperSize="9" scale="61" orientation="portrait" horizontalDpi="0" verticalDpi="0" copies="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31"/>
  <sheetViews>
    <sheetView zoomScale="75" workbookViewId="0">
      <selection sqref="A1:L31"/>
    </sheetView>
  </sheetViews>
  <sheetFormatPr baseColWidth="10" defaultColWidth="8.83203125" defaultRowHeight="16" x14ac:dyDescent="0.2"/>
  <cols>
    <col min="1" max="12" width="12" customWidth="1"/>
  </cols>
  <sheetData>
    <row r="1" spans="1:12" ht="42.75" customHeight="1" x14ac:dyDescent="0.2">
      <c r="A1" s="49" t="s">
        <v>195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42.75" customHeight="1" x14ac:dyDescent="0.2">
      <c r="A2" s="80" t="s">
        <v>196</v>
      </c>
      <c r="B2" s="8"/>
      <c r="C2" s="8"/>
      <c r="D2" s="8"/>
      <c r="E2" s="8"/>
      <c r="F2" s="8"/>
      <c r="G2" s="8"/>
      <c r="H2" s="8"/>
      <c r="I2" s="8"/>
      <c r="J2" s="50" t="s">
        <v>197</v>
      </c>
      <c r="K2" s="51"/>
      <c r="L2" s="52"/>
    </row>
    <row r="3" spans="1:12" ht="42.75" customHeight="1" x14ac:dyDescent="0.2">
      <c r="A3" s="123" t="s">
        <v>198</v>
      </c>
      <c r="B3" s="123"/>
      <c r="C3" s="123"/>
      <c r="D3" s="123"/>
      <c r="E3" s="123"/>
      <c r="F3" s="123"/>
      <c r="G3" s="110" t="s">
        <v>199</v>
      </c>
      <c r="H3" s="110"/>
      <c r="I3" s="110"/>
      <c r="J3" s="110"/>
      <c r="K3" s="110"/>
      <c r="L3" s="110"/>
    </row>
    <row r="4" spans="1:12" ht="62.25" customHeight="1" x14ac:dyDescent="0.2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1:12" ht="42.75" customHeight="1" x14ac:dyDescent="0.2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</row>
    <row r="6" spans="1:12" ht="42.75" customHeight="1" x14ac:dyDescent="0.2">
      <c r="A6" s="84" t="s">
        <v>200</v>
      </c>
      <c r="B6" s="84"/>
      <c r="C6" s="84"/>
      <c r="D6" s="84"/>
      <c r="E6" s="84"/>
      <c r="F6" s="84"/>
      <c r="G6" s="84" t="s">
        <v>201</v>
      </c>
      <c r="H6" s="84"/>
      <c r="I6" s="84"/>
      <c r="J6" s="84"/>
      <c r="K6" s="84"/>
      <c r="L6" s="84"/>
    </row>
    <row r="7" spans="1:12" ht="53.25" customHeight="1" x14ac:dyDescent="0.2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</row>
    <row r="8" spans="1:12" ht="53.2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</row>
    <row r="9" spans="1:12" ht="53.25" customHeight="1" x14ac:dyDescent="0.2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1:12" ht="42.75" customHeight="1" x14ac:dyDescent="0.2">
      <c r="A10" s="84" t="s">
        <v>202</v>
      </c>
      <c r="B10" s="84"/>
      <c r="C10" s="84"/>
      <c r="D10" s="84"/>
      <c r="E10" s="84"/>
      <c r="F10" s="84"/>
      <c r="G10" s="84" t="s">
        <v>203</v>
      </c>
      <c r="H10" s="84"/>
      <c r="I10" s="84"/>
      <c r="J10" s="84" t="s">
        <v>204</v>
      </c>
      <c r="K10" s="84"/>
      <c r="L10" s="84"/>
    </row>
    <row r="11" spans="1:12" ht="53.25" customHeight="1" x14ac:dyDescent="0.2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</row>
    <row r="12" spans="1:12" ht="53.25" customHeight="1" x14ac:dyDescent="0.2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</row>
    <row r="13" spans="1:12" ht="53.25" customHeight="1" x14ac:dyDescent="0.2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</row>
    <row r="14" spans="1:12" ht="42.75" customHeight="1" x14ac:dyDescent="0.2">
      <c r="A14" s="84" t="s">
        <v>205</v>
      </c>
      <c r="B14" s="84"/>
      <c r="C14" s="84"/>
      <c r="D14" s="84"/>
      <c r="E14" s="84"/>
      <c r="F14" s="84"/>
      <c r="G14" s="84" t="s">
        <v>206</v>
      </c>
      <c r="H14" s="84"/>
      <c r="I14" s="84"/>
      <c r="J14" s="84" t="s">
        <v>207</v>
      </c>
      <c r="K14" s="84"/>
      <c r="L14" s="84"/>
    </row>
    <row r="15" spans="1:12" ht="53.25" customHeight="1" x14ac:dyDescent="0.2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</row>
    <row r="16" spans="1:12" ht="53.25" customHeight="1" x14ac:dyDescent="0.2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</row>
    <row r="17" spans="1:12" ht="53.25" customHeight="1" x14ac:dyDescent="0.2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</row>
    <row r="18" spans="1:12" ht="42.75" customHeight="1" x14ac:dyDescent="0.2">
      <c r="A18" s="84" t="s">
        <v>208</v>
      </c>
      <c r="B18" s="84"/>
      <c r="C18" s="84"/>
      <c r="D18" s="84"/>
      <c r="E18" s="84"/>
      <c r="F18" s="84"/>
      <c r="G18" s="84" t="s">
        <v>209</v>
      </c>
      <c r="H18" s="84"/>
      <c r="I18" s="84"/>
      <c r="J18" s="84"/>
      <c r="K18" s="84"/>
      <c r="L18" s="84"/>
    </row>
    <row r="19" spans="1:12" ht="53.25" customHeight="1" x14ac:dyDescent="0.2">
      <c r="A19" s="129"/>
      <c r="B19" s="129"/>
      <c r="C19" s="129"/>
      <c r="D19" s="129"/>
      <c r="E19" s="129"/>
      <c r="F19" s="129"/>
      <c r="G19" s="130"/>
      <c r="H19" s="130"/>
      <c r="I19" s="130"/>
      <c r="J19" s="130"/>
      <c r="K19" s="130"/>
      <c r="L19" s="130"/>
    </row>
    <row r="20" spans="1:12" ht="53.25" customHeight="1" x14ac:dyDescent="0.2">
      <c r="A20" s="129"/>
      <c r="B20" s="129"/>
      <c r="C20" s="129"/>
      <c r="D20" s="129"/>
      <c r="E20" s="129"/>
      <c r="F20" s="129"/>
      <c r="G20" s="130"/>
      <c r="H20" s="130"/>
      <c r="I20" s="130"/>
      <c r="J20" s="130"/>
      <c r="K20" s="130"/>
      <c r="L20" s="130"/>
    </row>
    <row r="21" spans="1:12" ht="53.25" customHeight="1" x14ac:dyDescent="0.2">
      <c r="A21" s="129"/>
      <c r="B21" s="129"/>
      <c r="C21" s="129"/>
      <c r="D21" s="129"/>
      <c r="E21" s="129"/>
      <c r="F21" s="129"/>
      <c r="G21" s="130"/>
      <c r="H21" s="130"/>
      <c r="I21" s="130"/>
      <c r="J21" s="130"/>
      <c r="K21" s="130"/>
      <c r="L21" s="130"/>
    </row>
    <row r="22" spans="1:12" ht="42.75" customHeight="1" x14ac:dyDescent="0.2">
      <c r="A22" s="84" t="s">
        <v>210</v>
      </c>
      <c r="B22" s="84"/>
      <c r="C22" s="84"/>
      <c r="D22" s="84"/>
      <c r="E22" s="84"/>
      <c r="F22" s="84"/>
      <c r="G22" s="84" t="s">
        <v>211</v>
      </c>
      <c r="H22" s="84"/>
      <c r="I22" s="84"/>
      <c r="J22" s="84" t="s">
        <v>212</v>
      </c>
      <c r="K22" s="84"/>
      <c r="L22" s="84"/>
    </row>
    <row r="23" spans="1:12" ht="53.25" customHeight="1" x14ac:dyDescent="0.2">
      <c r="A23" s="126"/>
      <c r="B23" s="126"/>
      <c r="C23" s="126"/>
      <c r="D23" s="126"/>
      <c r="E23" s="126"/>
      <c r="F23" s="126"/>
      <c r="G23" s="129"/>
      <c r="H23" s="129"/>
      <c r="I23" s="129"/>
      <c r="J23" s="129"/>
      <c r="K23" s="129"/>
      <c r="L23" s="129"/>
    </row>
    <row r="24" spans="1:12" ht="53.25" customHeight="1" x14ac:dyDescent="0.2">
      <c r="A24" s="126"/>
      <c r="B24" s="126"/>
      <c r="C24" s="126"/>
      <c r="D24" s="126"/>
      <c r="E24" s="126"/>
      <c r="F24" s="126"/>
      <c r="G24" s="129"/>
      <c r="H24" s="129"/>
      <c r="I24" s="129"/>
      <c r="J24" s="129"/>
      <c r="K24" s="129"/>
      <c r="L24" s="129"/>
    </row>
    <row r="25" spans="1:12" ht="53.25" customHeight="1" x14ac:dyDescent="0.2">
      <c r="A25" s="126"/>
      <c r="B25" s="126"/>
      <c r="C25" s="126"/>
      <c r="D25" s="126"/>
      <c r="E25" s="126"/>
      <c r="F25" s="126"/>
      <c r="G25" s="129"/>
      <c r="H25" s="129"/>
      <c r="I25" s="129"/>
      <c r="J25" s="129"/>
      <c r="K25" s="129"/>
      <c r="L25" s="129"/>
    </row>
    <row r="26" spans="1:12" ht="42.75" customHeight="1" x14ac:dyDescent="0.2">
      <c r="A26" s="84" t="s">
        <v>213</v>
      </c>
      <c r="B26" s="84"/>
      <c r="C26" s="84"/>
      <c r="D26" s="84"/>
      <c r="E26" s="84"/>
      <c r="F26" s="84"/>
      <c r="G26" s="84"/>
      <c r="H26" s="84"/>
      <c r="I26" s="84" t="s">
        <v>214</v>
      </c>
      <c r="J26" s="84"/>
      <c r="K26" s="84" t="s">
        <v>215</v>
      </c>
      <c r="L26" s="84"/>
    </row>
    <row r="27" spans="1:12" ht="53.2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</row>
    <row r="28" spans="1:12" ht="53.25" customHeight="1" x14ac:dyDescent="0.2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</row>
    <row r="29" spans="1:12" ht="53.25" customHeight="1" x14ac:dyDescent="0.2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</row>
    <row r="30" spans="1:12" ht="42.75" customHeight="1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42.75" customHeight="1" x14ac:dyDescent="0.2">
      <c r="A31" s="84" t="s">
        <v>216</v>
      </c>
      <c r="B31" s="84"/>
      <c r="C31" s="84"/>
      <c r="D31" s="84"/>
      <c r="E31" s="84"/>
      <c r="F31" s="84"/>
      <c r="G31" s="84"/>
      <c r="H31" s="84"/>
      <c r="I31" s="56">
        <f>(--(A4&lt;&gt;"")+--(G4&lt;&gt;"")+--(A7&lt;&gt;"")+--(G7&lt;&gt;"")+--(A11&lt;&gt;"")+--(G11&lt;&gt;"")+--(J11&lt;&gt;"")+--(A15&lt;&gt;"")+--(G15&lt;&gt;"")+--(J15&lt;&gt;"")+--(A19&lt;&gt;"")+--(G19&lt;&gt;"")+--(A23&lt;&gt;"")+--(G23&lt;&gt;"")+--(J23&lt;&gt;"")+--(A27&lt;&gt;"")+--(I27&lt;&gt;"")+--(K27&lt;&gt;""))/18</f>
        <v>0</v>
      </c>
      <c r="J31" s="56"/>
      <c r="K31" s="56"/>
      <c r="L31" s="56"/>
    </row>
  </sheetData>
  <mergeCells count="40">
    <mergeCell ref="A31:H31"/>
    <mergeCell ref="I31:L31"/>
    <mergeCell ref="A26:H26"/>
    <mergeCell ref="A27:H29"/>
    <mergeCell ref="I26:J26"/>
    <mergeCell ref="I27:J29"/>
    <mergeCell ref="K26:L26"/>
    <mergeCell ref="K27:L29"/>
    <mergeCell ref="A23:F25"/>
    <mergeCell ref="G22:I22"/>
    <mergeCell ref="G23:I25"/>
    <mergeCell ref="J22:L22"/>
    <mergeCell ref="J23:L25"/>
    <mergeCell ref="A18:F18"/>
    <mergeCell ref="A19:F21"/>
    <mergeCell ref="G18:L18"/>
    <mergeCell ref="G19:L21"/>
    <mergeCell ref="A22:F22"/>
    <mergeCell ref="A14:F14"/>
    <mergeCell ref="A15:F17"/>
    <mergeCell ref="G14:I14"/>
    <mergeCell ref="G15:I17"/>
    <mergeCell ref="J14:L14"/>
    <mergeCell ref="J15:L17"/>
    <mergeCell ref="A11:F13"/>
    <mergeCell ref="G10:I10"/>
    <mergeCell ref="G11:I13"/>
    <mergeCell ref="J10:L10"/>
    <mergeCell ref="J11:L13"/>
    <mergeCell ref="A6:F6"/>
    <mergeCell ref="A7:F9"/>
    <mergeCell ref="G6:L6"/>
    <mergeCell ref="G7:L9"/>
    <mergeCell ref="A10:F10"/>
    <mergeCell ref="A1:L1"/>
    <mergeCell ref="J2:L2"/>
    <mergeCell ref="A3:F3"/>
    <mergeCell ref="G3:L3"/>
    <mergeCell ref="A4:F4"/>
    <mergeCell ref="G4:L4"/>
  </mergeCells>
  <pageMargins left="0.7" right="0.7" top="0.75" bottom="0.75" header="0.3" footer="0.3"/>
  <pageSetup paperSize="9" scale="50" orientation="portrait" horizontalDpi="0" verticalDpi="0" copies="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6"/>
  <sheetViews>
    <sheetView topLeftCell="A9" workbookViewId="0">
      <selection activeCell="B16" sqref="A1:J16"/>
    </sheetView>
  </sheetViews>
  <sheetFormatPr baseColWidth="10" defaultColWidth="8.83203125" defaultRowHeight="16" x14ac:dyDescent="0.2"/>
  <cols>
    <col min="1" max="1" width="10.6640625" customWidth="1"/>
    <col min="2" max="2" width="24" customWidth="1"/>
    <col min="3" max="3" width="25" customWidth="1"/>
    <col min="4" max="4" width="16" customWidth="1"/>
    <col min="5" max="5" width="18" customWidth="1"/>
    <col min="6" max="7" width="16" customWidth="1"/>
    <col min="8" max="9" width="27" customWidth="1"/>
    <col min="10" max="10" width="20" customWidth="1"/>
  </cols>
  <sheetData>
    <row r="1" spans="1:10" ht="67.75" customHeight="1" x14ac:dyDescent="0.2">
      <c r="A1" s="49" t="s">
        <v>217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44.25" customHeight="1" x14ac:dyDescent="0.2">
      <c r="A2" s="80" t="s">
        <v>218</v>
      </c>
      <c r="B2" s="8"/>
      <c r="C2" s="8"/>
      <c r="D2" s="8"/>
      <c r="E2" s="8"/>
      <c r="F2" s="8"/>
      <c r="G2" s="8"/>
      <c r="H2" s="50" t="s">
        <v>219</v>
      </c>
      <c r="I2" s="51"/>
      <c r="J2" s="52"/>
    </row>
    <row r="3" spans="1:10" ht="21" x14ac:dyDescent="0.2">
      <c r="A3" s="132" t="s">
        <v>220</v>
      </c>
      <c r="B3" s="132"/>
      <c r="C3" s="133"/>
      <c r="D3" s="132" t="s">
        <v>221</v>
      </c>
      <c r="E3" s="132"/>
      <c r="F3" s="132"/>
      <c r="G3" s="134" t="str">
        <f>IF(OR(F6="",F9=""),"",IFERROR(F9/F6,0))</f>
        <v/>
      </c>
      <c r="H3" s="132" t="s">
        <v>222</v>
      </c>
      <c r="I3" s="132"/>
      <c r="J3" s="135">
        <f>SUM(G6:G11)</f>
        <v>0</v>
      </c>
    </row>
    <row r="5" spans="1:10" ht="67.75" customHeight="1" x14ac:dyDescent="0.2">
      <c r="A5" s="73" t="s">
        <v>223</v>
      </c>
      <c r="B5" s="73" t="s">
        <v>224</v>
      </c>
      <c r="C5" s="73" t="s">
        <v>225</v>
      </c>
      <c r="D5" s="73" t="s">
        <v>226</v>
      </c>
      <c r="E5" s="73" t="s">
        <v>227</v>
      </c>
      <c r="F5" s="73" t="s">
        <v>228</v>
      </c>
      <c r="G5" s="73" t="s">
        <v>229</v>
      </c>
      <c r="H5" s="73" t="s">
        <v>230</v>
      </c>
      <c r="I5" s="73" t="s">
        <v>231</v>
      </c>
      <c r="J5" s="73" t="s">
        <v>212</v>
      </c>
    </row>
    <row r="6" spans="1:10" ht="67.75" customHeight="1" x14ac:dyDescent="0.2">
      <c r="A6" s="87">
        <v>0</v>
      </c>
      <c r="B6" s="87" t="s">
        <v>232</v>
      </c>
      <c r="C6" s="91"/>
      <c r="D6" s="116"/>
      <c r="E6" s="121"/>
      <c r="F6" s="136"/>
      <c r="G6" s="114" t="str">
        <f t="shared" ref="G6:G11" si="0">IF(OR(D6="",F6=""),"",D6*F6)</f>
        <v/>
      </c>
      <c r="H6" s="88"/>
      <c r="I6" s="88"/>
      <c r="J6" s="88"/>
    </row>
    <row r="7" spans="1:10" ht="67.75" customHeight="1" x14ac:dyDescent="0.2">
      <c r="A7" s="87">
        <v>1</v>
      </c>
      <c r="B7" s="87" t="s">
        <v>106</v>
      </c>
      <c r="C7" s="91"/>
      <c r="D7" s="116"/>
      <c r="E7" s="121"/>
      <c r="F7" s="136" t="str">
        <f t="shared" ref="F7" si="1">IF(OR(E7="",F6=""),"",F6*E7)</f>
        <v/>
      </c>
      <c r="G7" s="114" t="str">
        <f t="shared" si="0"/>
        <v/>
      </c>
      <c r="H7" s="88"/>
      <c r="I7" s="88"/>
      <c r="J7" s="88"/>
    </row>
    <row r="8" spans="1:10" ht="67.75" customHeight="1" x14ac:dyDescent="0.2">
      <c r="A8" s="87">
        <v>2</v>
      </c>
      <c r="B8" s="87" t="s">
        <v>233</v>
      </c>
      <c r="C8" s="91"/>
      <c r="D8" s="116"/>
      <c r="E8" s="121"/>
      <c r="F8" s="136" t="str">
        <f>IF(OR(E8="",F7=""),"",F7*E8)</f>
        <v/>
      </c>
      <c r="G8" s="114" t="str">
        <f t="shared" si="0"/>
        <v/>
      </c>
      <c r="H8" s="88"/>
      <c r="I8" s="88"/>
      <c r="J8" s="88"/>
    </row>
    <row r="9" spans="1:10" ht="67.75" customHeight="1" x14ac:dyDescent="0.2">
      <c r="A9" s="87">
        <v>3</v>
      </c>
      <c r="B9" s="87" t="s">
        <v>234</v>
      </c>
      <c r="C9" s="91"/>
      <c r="D9" s="116"/>
      <c r="E9" s="121"/>
      <c r="F9" s="136" t="str">
        <f>IF(OR(E9="",F8=""),"",F8*E9)</f>
        <v/>
      </c>
      <c r="G9" s="114" t="str">
        <f t="shared" si="0"/>
        <v/>
      </c>
      <c r="H9" s="88"/>
      <c r="I9" s="88"/>
      <c r="J9" s="88"/>
    </row>
    <row r="10" spans="1:10" ht="67.75" customHeight="1" x14ac:dyDescent="0.2">
      <c r="A10" s="87">
        <v>4</v>
      </c>
      <c r="B10" s="87" t="s">
        <v>235</v>
      </c>
      <c r="C10" s="91"/>
      <c r="D10" s="116"/>
      <c r="E10" s="121"/>
      <c r="F10" s="136" t="str">
        <f>IF(OR(E10="",F9=""),"",F9*E10)</f>
        <v/>
      </c>
      <c r="G10" s="114" t="str">
        <f t="shared" si="0"/>
        <v/>
      </c>
      <c r="H10" s="88"/>
      <c r="I10" s="88"/>
      <c r="J10" s="88"/>
    </row>
    <row r="11" spans="1:10" ht="67.75" customHeight="1" x14ac:dyDescent="0.2">
      <c r="A11" s="87">
        <v>5</v>
      </c>
      <c r="B11" s="87" t="s">
        <v>237</v>
      </c>
      <c r="C11" s="91"/>
      <c r="D11" s="116"/>
      <c r="E11" s="121"/>
      <c r="F11" s="136" t="str">
        <f>IF(OR(E11="",F10=""),"",F10*E11)</f>
        <v/>
      </c>
      <c r="G11" s="114" t="str">
        <f t="shared" si="0"/>
        <v/>
      </c>
      <c r="H11" s="88"/>
      <c r="I11" s="88"/>
      <c r="J11" s="88"/>
    </row>
    <row r="14" spans="1:10" ht="38" x14ac:dyDescent="0.2">
      <c r="A14" s="78" t="s">
        <v>239</v>
      </c>
      <c r="B14" s="137" t="s">
        <v>240</v>
      </c>
      <c r="C14" s="137"/>
      <c r="D14" s="137"/>
      <c r="E14" s="137"/>
      <c r="F14" s="137"/>
      <c r="G14" s="137"/>
      <c r="H14" s="137"/>
      <c r="I14" s="137"/>
      <c r="J14" s="137"/>
    </row>
    <row r="15" spans="1:10" ht="38" x14ac:dyDescent="0.2">
      <c r="A15" s="138" t="s">
        <v>241</v>
      </c>
      <c r="B15" s="139" t="s">
        <v>242</v>
      </c>
      <c r="C15" s="139"/>
      <c r="D15" s="139"/>
      <c r="E15" s="139"/>
      <c r="F15" s="139"/>
      <c r="G15" s="139"/>
      <c r="H15" s="139"/>
      <c r="I15" s="139"/>
      <c r="J15" s="139"/>
    </row>
    <row r="16" spans="1:10" ht="57" x14ac:dyDescent="0.2">
      <c r="A16" s="138" t="s">
        <v>243</v>
      </c>
      <c r="B16" s="139" t="s">
        <v>244</v>
      </c>
      <c r="C16" s="139"/>
      <c r="D16" s="139"/>
      <c r="E16" s="139"/>
      <c r="F16" s="139"/>
      <c r="G16" s="139"/>
      <c r="H16" s="139"/>
      <c r="I16" s="139"/>
      <c r="J16" s="139"/>
    </row>
  </sheetData>
  <mergeCells count="8">
    <mergeCell ref="B14:J14"/>
    <mergeCell ref="B15:J15"/>
    <mergeCell ref="B16:J16"/>
    <mergeCell ref="A1:J1"/>
    <mergeCell ref="H2:J2"/>
    <mergeCell ref="A3:B3"/>
    <mergeCell ref="D3:F3"/>
    <mergeCell ref="H3:I3"/>
  </mergeCells>
  <pageMargins left="0.25" right="0.25" top="0.75" bottom="0.75" header="0.3" footer="0.3"/>
  <pageSetup paperSize="9" scale="66" orientation="landscape" horizontalDpi="0" verticalDpi="0" copies="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15"/>
  <sheetViews>
    <sheetView workbookViewId="0">
      <selection activeCell="H15" sqref="A1:N15"/>
    </sheetView>
  </sheetViews>
  <sheetFormatPr baseColWidth="10" defaultColWidth="8.83203125" defaultRowHeight="16" x14ac:dyDescent="0.2"/>
  <cols>
    <col min="1" max="1" width="5" customWidth="1"/>
    <col min="2" max="2" width="25" customWidth="1"/>
    <col min="3" max="4" width="15" customWidth="1"/>
    <col min="5" max="5" width="15.83203125" customWidth="1"/>
    <col min="6" max="6" width="20" customWidth="1"/>
    <col min="8" max="8" width="22" customWidth="1"/>
    <col min="9" max="9" width="17.1640625" customWidth="1"/>
    <col min="10" max="11" width="16" customWidth="1"/>
    <col min="12" max="12" width="17.6640625" customWidth="1"/>
    <col min="13" max="13" width="16" customWidth="1"/>
    <col min="14" max="14" width="18" customWidth="1"/>
  </cols>
  <sheetData>
    <row r="1" spans="1:14" ht="67.75" customHeight="1" x14ac:dyDescent="0.2">
      <c r="A1" s="49" t="s">
        <v>245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44.25" customHeight="1" x14ac:dyDescent="0.2">
      <c r="A2" s="80" t="s">
        <v>246</v>
      </c>
      <c r="B2" s="8"/>
      <c r="C2" s="8"/>
      <c r="D2" s="8"/>
      <c r="E2" s="8"/>
      <c r="F2" s="8"/>
      <c r="G2" s="8"/>
      <c r="H2" s="8"/>
      <c r="I2" s="8"/>
      <c r="J2" s="8"/>
      <c r="K2" s="8"/>
      <c r="L2" s="50" t="s">
        <v>247</v>
      </c>
      <c r="M2" s="51"/>
      <c r="N2" s="52"/>
    </row>
    <row r="3" spans="1:14" s="104" customFormat="1" ht="19" x14ac:dyDescent="0.25">
      <c r="A3" s="84" t="s">
        <v>248</v>
      </c>
      <c r="B3" s="84"/>
      <c r="C3" s="84"/>
      <c r="D3" s="84" t="s">
        <v>249</v>
      </c>
      <c r="E3" s="84"/>
      <c r="F3" s="84"/>
      <c r="G3" s="84" t="s">
        <v>250</v>
      </c>
      <c r="H3" s="84"/>
      <c r="I3" s="84"/>
      <c r="J3" s="84" t="s">
        <v>251</v>
      </c>
      <c r="K3" s="84"/>
      <c r="L3" s="84"/>
      <c r="M3" s="84"/>
      <c r="N3" s="84"/>
    </row>
    <row r="4" spans="1:14" s="104" customFormat="1" ht="19" x14ac:dyDescent="0.25">
      <c r="A4" s="86">
        <f>SUM(E6:E15)</f>
        <v>0</v>
      </c>
      <c r="B4" s="86"/>
      <c r="C4" s="86"/>
      <c r="D4" s="140">
        <f>SUM(K6:K12)</f>
        <v>0</v>
      </c>
      <c r="E4" s="140"/>
      <c r="F4" s="140"/>
      <c r="G4" s="85">
        <f>IFERROR(SUM(E6:E15)/SUM(K6:K12),0)</f>
        <v>0</v>
      </c>
      <c r="H4" s="85"/>
      <c r="I4" s="85"/>
      <c r="J4" s="141">
        <f>COUNTIF(N6:N12,"SOBRECARGADO")+COUNTIF(N6:N12,"EN RIESGO")</f>
        <v>0</v>
      </c>
      <c r="K4" s="141"/>
      <c r="L4" s="141"/>
      <c r="M4" s="141"/>
      <c r="N4" s="141"/>
    </row>
    <row r="5" spans="1:14" ht="53.25" customHeight="1" x14ac:dyDescent="0.25">
      <c r="A5" s="101" t="s">
        <v>93</v>
      </c>
      <c r="B5" s="101" t="s">
        <v>252</v>
      </c>
      <c r="C5" s="101" t="s">
        <v>253</v>
      </c>
      <c r="D5" s="101" t="s">
        <v>254</v>
      </c>
      <c r="E5" s="101" t="s">
        <v>255</v>
      </c>
      <c r="F5" s="101" t="s">
        <v>212</v>
      </c>
      <c r="G5" s="104"/>
      <c r="H5" s="102" t="s">
        <v>256</v>
      </c>
      <c r="I5" s="102" t="s">
        <v>257</v>
      </c>
      <c r="J5" s="102" t="s">
        <v>258</v>
      </c>
      <c r="K5" s="102" t="s">
        <v>249</v>
      </c>
      <c r="L5" s="102" t="s">
        <v>259</v>
      </c>
      <c r="M5" s="102" t="s">
        <v>260</v>
      </c>
      <c r="N5" s="102" t="s">
        <v>261</v>
      </c>
    </row>
    <row r="6" spans="1:14" ht="53.25" customHeight="1" x14ac:dyDescent="0.25">
      <c r="A6" s="71">
        <v>1</v>
      </c>
      <c r="B6" s="71" t="str">
        <f>IF('Inventario del Portafolio'!B6="","",'Inventario del Portafolio'!B6)</f>
        <v/>
      </c>
      <c r="C6" s="71" t="str">
        <f>IF(B6="","",'Inventario del Portafolio'!D6)</f>
        <v/>
      </c>
      <c r="D6" s="71" t="str">
        <f>IF(B6="","",'Inventario del Portafolio'!G6)</f>
        <v/>
      </c>
      <c r="E6" s="71" t="str">
        <f>IF(B6="","",'Inventario del Portafolio'!H6)</f>
        <v/>
      </c>
      <c r="F6" s="71" t="str">
        <f>IF(B6="","",'Inventario del Portafolio'!I6)</f>
        <v/>
      </c>
      <c r="G6" s="104"/>
      <c r="H6" s="91"/>
      <c r="I6" s="91"/>
      <c r="J6" s="145"/>
      <c r="K6" s="103" t="str">
        <f t="shared" ref="K6:K12" si="0">IF(I6="","",I6*(1-J6))</f>
        <v/>
      </c>
      <c r="L6" s="103" t="str">
        <f t="shared" ref="L6:L12" si="1">IF(H6="","",SUMIF($F$6:$F$15,H6,$E$6:$E$15))</f>
        <v/>
      </c>
      <c r="M6" s="120">
        <f t="shared" ref="M6:M12" si="2">IFERROR(L6/K6,0)</f>
        <v>0</v>
      </c>
      <c r="N6" s="103" t="str">
        <f t="shared" ref="N6:N12" si="3">IF(H6="","",IF(M6&gt;1,"SOBRECARGADO",IF(M6&gt;0.85,"EN RIESGO","DISPONIBLE")))</f>
        <v/>
      </c>
    </row>
    <row r="7" spans="1:14" ht="53.25" customHeight="1" x14ac:dyDescent="0.25">
      <c r="A7" s="71">
        <v>2</v>
      </c>
      <c r="B7" s="71" t="str">
        <f>IF('Inventario del Portafolio'!B7="","",'Inventario del Portafolio'!B7)</f>
        <v/>
      </c>
      <c r="C7" s="71" t="str">
        <f>IF(B7="","",'Inventario del Portafolio'!D7)</f>
        <v/>
      </c>
      <c r="D7" s="71" t="str">
        <f>IF(B7="","",'Inventario del Portafolio'!G7)</f>
        <v/>
      </c>
      <c r="E7" s="71" t="str">
        <f>IF(B7="","",'Inventario del Portafolio'!H7)</f>
        <v/>
      </c>
      <c r="F7" s="71" t="str">
        <f>IF(B7="","",'Inventario del Portafolio'!I7)</f>
        <v/>
      </c>
      <c r="G7" s="104"/>
      <c r="H7" s="91"/>
      <c r="I7" s="91"/>
      <c r="J7" s="145"/>
      <c r="K7" s="103" t="str">
        <f t="shared" si="0"/>
        <v/>
      </c>
      <c r="L7" s="103" t="str">
        <f t="shared" si="1"/>
        <v/>
      </c>
      <c r="M7" s="120">
        <f t="shared" si="2"/>
        <v>0</v>
      </c>
      <c r="N7" s="103" t="str">
        <f t="shared" si="3"/>
        <v/>
      </c>
    </row>
    <row r="8" spans="1:14" ht="53.25" customHeight="1" x14ac:dyDescent="0.25">
      <c r="A8" s="71">
        <v>3</v>
      </c>
      <c r="B8" s="71" t="str">
        <f>IF('Inventario del Portafolio'!B8="","",'Inventario del Portafolio'!B8)</f>
        <v/>
      </c>
      <c r="C8" s="71" t="str">
        <f>IF(B8="","",'Inventario del Portafolio'!D8)</f>
        <v/>
      </c>
      <c r="D8" s="71" t="str">
        <f>IF(B8="","",'Inventario del Portafolio'!G8)</f>
        <v/>
      </c>
      <c r="E8" s="71" t="str">
        <f>IF(B8="","",'Inventario del Portafolio'!H8)</f>
        <v/>
      </c>
      <c r="F8" s="71" t="str">
        <f>IF(B8="","",'Inventario del Portafolio'!I8)</f>
        <v/>
      </c>
      <c r="G8" s="104"/>
      <c r="H8" s="91"/>
      <c r="I8" s="91"/>
      <c r="J8" s="145"/>
      <c r="K8" s="103" t="str">
        <f t="shared" si="0"/>
        <v/>
      </c>
      <c r="L8" s="103" t="str">
        <f t="shared" si="1"/>
        <v/>
      </c>
      <c r="M8" s="120">
        <f t="shared" si="2"/>
        <v>0</v>
      </c>
      <c r="N8" s="103" t="str">
        <f t="shared" si="3"/>
        <v/>
      </c>
    </row>
    <row r="9" spans="1:14" ht="53.25" customHeight="1" x14ac:dyDescent="0.25">
      <c r="A9" s="71">
        <v>4</v>
      </c>
      <c r="B9" s="71" t="str">
        <f>IF('Inventario del Portafolio'!B9="","",'Inventario del Portafolio'!B9)</f>
        <v/>
      </c>
      <c r="C9" s="71" t="str">
        <f>IF(B9="","",'Inventario del Portafolio'!D9)</f>
        <v/>
      </c>
      <c r="D9" s="71" t="str">
        <f>IF(B9="","",'Inventario del Portafolio'!G9)</f>
        <v/>
      </c>
      <c r="E9" s="71" t="str">
        <f>IF(B9="","",'Inventario del Portafolio'!H9)</f>
        <v/>
      </c>
      <c r="F9" s="71" t="str">
        <f>IF(B9="","",'Inventario del Portafolio'!I9)</f>
        <v/>
      </c>
      <c r="G9" s="104"/>
      <c r="H9" s="91"/>
      <c r="I9" s="91"/>
      <c r="J9" s="145"/>
      <c r="K9" s="103" t="str">
        <f t="shared" si="0"/>
        <v/>
      </c>
      <c r="L9" s="103" t="str">
        <f t="shared" si="1"/>
        <v/>
      </c>
      <c r="M9" s="120">
        <f t="shared" si="2"/>
        <v>0</v>
      </c>
      <c r="N9" s="103" t="str">
        <f t="shared" si="3"/>
        <v/>
      </c>
    </row>
    <row r="10" spans="1:14" ht="53.25" customHeight="1" x14ac:dyDescent="0.25">
      <c r="A10" s="71">
        <v>5</v>
      </c>
      <c r="B10" s="71" t="str">
        <f>IF('Inventario del Portafolio'!B10="","",'Inventario del Portafolio'!B10)</f>
        <v/>
      </c>
      <c r="C10" s="71" t="str">
        <f>IF(B10="","",'Inventario del Portafolio'!D10)</f>
        <v/>
      </c>
      <c r="D10" s="71" t="str">
        <f>IF(B10="","",'Inventario del Portafolio'!G10)</f>
        <v/>
      </c>
      <c r="E10" s="71" t="str">
        <f>IF(B10="","",'Inventario del Portafolio'!H10)</f>
        <v/>
      </c>
      <c r="F10" s="71" t="str">
        <f>IF(B10="","",'Inventario del Portafolio'!I10)</f>
        <v/>
      </c>
      <c r="G10" s="104"/>
      <c r="H10" s="91"/>
      <c r="I10" s="91"/>
      <c r="J10" s="145"/>
      <c r="K10" s="103" t="str">
        <f t="shared" si="0"/>
        <v/>
      </c>
      <c r="L10" s="103" t="str">
        <f t="shared" si="1"/>
        <v/>
      </c>
      <c r="M10" s="120">
        <f t="shared" si="2"/>
        <v>0</v>
      </c>
      <c r="N10" s="103" t="str">
        <f t="shared" si="3"/>
        <v/>
      </c>
    </row>
    <row r="11" spans="1:14" ht="53.25" customHeight="1" x14ac:dyDescent="0.25">
      <c r="A11" s="71">
        <v>6</v>
      </c>
      <c r="B11" s="71" t="str">
        <f>IF('Inventario del Portafolio'!B11="","",'Inventario del Portafolio'!B11)</f>
        <v/>
      </c>
      <c r="C11" s="71" t="str">
        <f>IF(B11="","",'Inventario del Portafolio'!D11)</f>
        <v/>
      </c>
      <c r="D11" s="71" t="str">
        <f>IF(B11="","",'Inventario del Portafolio'!G11)</f>
        <v/>
      </c>
      <c r="E11" s="71" t="str">
        <f>IF(B11="","",'Inventario del Portafolio'!H11)</f>
        <v/>
      </c>
      <c r="F11" s="71" t="str">
        <f>IF(B11="","",'Inventario del Portafolio'!I11)</f>
        <v/>
      </c>
      <c r="G11" s="104"/>
      <c r="H11" s="91"/>
      <c r="I11" s="91"/>
      <c r="J11" s="145"/>
      <c r="K11" s="103" t="str">
        <f t="shared" si="0"/>
        <v/>
      </c>
      <c r="L11" s="103" t="str">
        <f t="shared" si="1"/>
        <v/>
      </c>
      <c r="M11" s="120">
        <f t="shared" si="2"/>
        <v>0</v>
      </c>
      <c r="N11" s="103" t="str">
        <f t="shared" si="3"/>
        <v/>
      </c>
    </row>
    <row r="12" spans="1:14" ht="53.25" customHeight="1" x14ac:dyDescent="0.25">
      <c r="A12" s="71">
        <v>7</v>
      </c>
      <c r="B12" s="71" t="str">
        <f>IF('Inventario del Portafolio'!B12="","",'Inventario del Portafolio'!B12)</f>
        <v/>
      </c>
      <c r="C12" s="71" t="str">
        <f>IF(B12="","",'Inventario del Portafolio'!D12)</f>
        <v/>
      </c>
      <c r="D12" s="71" t="str">
        <f>IF(B12="","",'Inventario del Portafolio'!G12)</f>
        <v/>
      </c>
      <c r="E12" s="71" t="str">
        <f>IF(B12="","",'Inventario del Portafolio'!H12)</f>
        <v/>
      </c>
      <c r="F12" s="71" t="str">
        <f>IF(B12="","",'Inventario del Portafolio'!I12)</f>
        <v/>
      </c>
      <c r="G12" s="104"/>
      <c r="H12" s="91"/>
      <c r="I12" s="91"/>
      <c r="J12" s="145"/>
      <c r="K12" s="103" t="str">
        <f t="shared" si="0"/>
        <v/>
      </c>
      <c r="L12" s="103" t="str">
        <f t="shared" si="1"/>
        <v/>
      </c>
      <c r="M12" s="120">
        <f t="shared" si="2"/>
        <v>0</v>
      </c>
      <c r="N12" s="103" t="str">
        <f t="shared" si="3"/>
        <v/>
      </c>
    </row>
    <row r="13" spans="1:14" ht="53.25" customHeight="1" x14ac:dyDescent="0.25">
      <c r="A13" s="71">
        <v>8</v>
      </c>
      <c r="B13" s="71" t="str">
        <f>IF('Inventario del Portafolio'!B13="","",'Inventario del Portafolio'!B13)</f>
        <v/>
      </c>
      <c r="C13" s="71" t="str">
        <f>IF(B13="","",'Inventario del Portafolio'!D13)</f>
        <v/>
      </c>
      <c r="D13" s="71" t="str">
        <f>IF(B13="","",'Inventario del Portafolio'!G13)</f>
        <v/>
      </c>
      <c r="E13" s="71" t="str">
        <f>IF(B13="","",'Inventario del Portafolio'!H13)</f>
        <v/>
      </c>
      <c r="F13" s="71" t="str">
        <f>IF(B13="","",'Inventario del Portafolio'!I13)</f>
        <v/>
      </c>
      <c r="G13" s="104"/>
      <c r="H13" s="104"/>
      <c r="I13" s="104"/>
      <c r="J13" s="104"/>
      <c r="K13" s="104"/>
      <c r="L13" s="104"/>
      <c r="M13" s="104"/>
      <c r="N13" s="104"/>
    </row>
    <row r="14" spans="1:14" ht="53.25" customHeight="1" x14ac:dyDescent="0.2">
      <c r="A14" s="71">
        <v>9</v>
      </c>
      <c r="B14" s="15" t="str">
        <f>IF('Inventario del Portafolio'!B14="","",'Inventario del Portafolio'!B14)</f>
        <v/>
      </c>
      <c r="C14" s="15" t="str">
        <f>IF(B14="","",'Inventario del Portafolio'!D14)</f>
        <v/>
      </c>
      <c r="D14" s="15" t="str">
        <f>IF(B14="","",'Inventario del Portafolio'!G14)</f>
        <v/>
      </c>
      <c r="E14" s="15" t="str">
        <f>IF(B14="","",'Inventario del Portafolio'!H14)</f>
        <v/>
      </c>
      <c r="F14" s="15" t="str">
        <f>IF(B14="","",'Inventario del Portafolio'!I14)</f>
        <v/>
      </c>
    </row>
    <row r="15" spans="1:14" ht="53.25" customHeight="1" x14ac:dyDescent="0.2">
      <c r="A15" s="71">
        <v>10</v>
      </c>
      <c r="B15" s="15" t="str">
        <f>IF('Inventario del Portafolio'!B15="","",'Inventario del Portafolio'!B15)</f>
        <v/>
      </c>
      <c r="C15" s="15" t="str">
        <f>IF(B15="","",'Inventario del Portafolio'!D15)</f>
        <v/>
      </c>
      <c r="D15" s="15" t="str">
        <f>IF(B15="","",'Inventario del Portafolio'!G15)</f>
        <v/>
      </c>
      <c r="E15" s="15" t="str">
        <f>IF(B15="","",'Inventario del Portafolio'!H15)</f>
        <v/>
      </c>
      <c r="F15" s="15" t="str">
        <f>IF(B15="","",'Inventario del Portafolio'!I15)</f>
        <v/>
      </c>
      <c r="H15" s="142" t="s">
        <v>262</v>
      </c>
      <c r="I15" s="143"/>
      <c r="J15" s="143"/>
      <c r="K15" s="143"/>
      <c r="L15" s="143"/>
      <c r="M15" s="143"/>
      <c r="N15" s="144"/>
    </row>
  </sheetData>
  <mergeCells count="11">
    <mergeCell ref="H15:N15"/>
    <mergeCell ref="A1:N1"/>
    <mergeCell ref="L2:N2"/>
    <mergeCell ref="A3:C3"/>
    <mergeCell ref="A4:C4"/>
    <mergeCell ref="D3:F3"/>
    <mergeCell ref="D4:F4"/>
    <mergeCell ref="G3:I3"/>
    <mergeCell ref="G4:I4"/>
    <mergeCell ref="J3:N3"/>
    <mergeCell ref="J4:N4"/>
  </mergeCells>
  <conditionalFormatting sqref="N6:N12">
    <cfRule type="expression" dxfId="6" priority="1">
      <formula>N6="SOBRECARGADO"</formula>
    </cfRule>
    <cfRule type="expression" dxfId="5" priority="2">
      <formula>N6="EN RIESGO"</formula>
    </cfRule>
    <cfRule type="expression" dxfId="4" priority="3">
      <formula>N6="DISPONIBLE"</formula>
    </cfRule>
  </conditionalFormatting>
  <pageMargins left="0.25" right="0.25" top="0.75" bottom="0.75" header="0.3" footer="0.3"/>
  <pageSetup paperSize="9" scale="58" orientation="landscape" horizontalDpi="0" verticalDpi="0" copies="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5"/>
  <sheetViews>
    <sheetView topLeftCell="A11" workbookViewId="0">
      <selection activeCell="L15" sqref="A1:L15"/>
    </sheetView>
  </sheetViews>
  <sheetFormatPr baseColWidth="10" defaultColWidth="8.83203125" defaultRowHeight="16" x14ac:dyDescent="0.2"/>
  <cols>
    <col min="1" max="1" width="5" customWidth="1"/>
    <col min="2" max="2" width="25" customWidth="1"/>
    <col min="3" max="3" width="15.83203125" customWidth="1"/>
    <col min="4" max="4" width="14" customWidth="1"/>
    <col min="5" max="5" width="15.33203125" customWidth="1"/>
    <col min="6" max="7" width="23" customWidth="1"/>
    <col min="8" max="9" width="28" customWidth="1"/>
    <col min="10" max="10" width="20" customWidth="1"/>
    <col min="11" max="12" width="16" customWidth="1"/>
  </cols>
  <sheetData>
    <row r="1" spans="1:12" ht="67.75" customHeight="1" x14ac:dyDescent="0.2">
      <c r="A1" s="49" t="s">
        <v>263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44.25" customHeight="1" x14ac:dyDescent="0.2">
      <c r="A2" s="80" t="s">
        <v>264</v>
      </c>
      <c r="B2" s="8"/>
      <c r="C2" s="8"/>
      <c r="D2" s="8"/>
      <c r="E2" s="8"/>
      <c r="F2" s="8"/>
      <c r="G2" s="8"/>
      <c r="H2" s="8"/>
      <c r="I2" s="8"/>
      <c r="J2" s="50" t="s">
        <v>265</v>
      </c>
      <c r="K2" s="51"/>
      <c r="L2" s="52"/>
    </row>
    <row r="3" spans="1:12" s="146" customFormat="1" ht="40" customHeight="1" x14ac:dyDescent="0.3">
      <c r="A3" s="132" t="s">
        <v>266</v>
      </c>
      <c r="B3" s="132"/>
      <c r="C3" s="132"/>
      <c r="D3" s="132" t="s">
        <v>267</v>
      </c>
      <c r="E3" s="132"/>
      <c r="F3" s="132"/>
      <c r="G3" s="132" t="s">
        <v>268</v>
      </c>
      <c r="H3" s="132"/>
      <c r="I3" s="132"/>
      <c r="J3" s="132" t="s">
        <v>269</v>
      </c>
      <c r="K3" s="132"/>
      <c r="L3" s="132"/>
    </row>
    <row r="4" spans="1:12" s="146" customFormat="1" ht="40" customHeight="1" x14ac:dyDescent="0.3">
      <c r="A4" s="147">
        <f>'Inventario del Portafolio'!E16</f>
        <v>0</v>
      </c>
      <c r="B4" s="147"/>
      <c r="C4" s="147"/>
      <c r="D4" s="148">
        <f>SUMIF(C6:C15,"ESTRELLA",D6:D15)</f>
        <v>0</v>
      </c>
      <c r="E4" s="148"/>
      <c r="F4" s="148"/>
      <c r="G4" s="149">
        <f>SUMIF(C6:C15,"LASTRE",D6:D15)</f>
        <v>0</v>
      </c>
      <c r="H4" s="149"/>
      <c r="I4" s="149"/>
      <c r="J4" s="150">
        <f>COUNTIF(G6:G15,"Rediseñar")+COUNTIF(G6:G15,"Retirar")</f>
        <v>0</v>
      </c>
      <c r="K4" s="150"/>
      <c r="L4" s="150"/>
    </row>
    <row r="5" spans="1:12" ht="67.75" customHeight="1" x14ac:dyDescent="0.2">
      <c r="A5" s="73" t="s">
        <v>93</v>
      </c>
      <c r="B5" s="73" t="s">
        <v>252</v>
      </c>
      <c r="C5" s="73" t="s">
        <v>184</v>
      </c>
      <c r="D5" s="73" t="s">
        <v>270</v>
      </c>
      <c r="E5" s="73" t="s">
        <v>255</v>
      </c>
      <c r="F5" s="73" t="s">
        <v>271</v>
      </c>
      <c r="G5" s="73" t="s">
        <v>272</v>
      </c>
      <c r="H5" s="73" t="s">
        <v>273</v>
      </c>
      <c r="I5" s="73" t="s">
        <v>274</v>
      </c>
      <c r="J5" s="73" t="s">
        <v>212</v>
      </c>
      <c r="K5" s="73" t="s">
        <v>275</v>
      </c>
      <c r="L5" s="73" t="s">
        <v>261</v>
      </c>
    </row>
    <row r="6" spans="1:12" ht="67.75" customHeight="1" x14ac:dyDescent="0.2">
      <c r="A6" s="71">
        <v>1</v>
      </c>
      <c r="B6" s="71" t="str">
        <f>IF('Inventario del Portafolio'!B6="","",'Inventario del Portafolio'!B6)</f>
        <v/>
      </c>
      <c r="C6" s="71" t="str">
        <f>IF(B6="","",'Mapa estratégico'!I5)</f>
        <v/>
      </c>
      <c r="D6" s="105" t="str">
        <f>IF(B6="","",'Inventario del Portafolio'!E6)</f>
        <v/>
      </c>
      <c r="E6" s="71" t="str">
        <f>IF(B6="","",'Inventario del Portafolio'!H6)</f>
        <v/>
      </c>
      <c r="F6" s="71" t="str">
        <f t="shared" ref="F6:F15" si="0">IF(C6="","",IF(C6="ESTRELLA","Escalar",IF(C6="PAN","Optimizar y conectar",IF(C6="TORTA","Crear PAN de entrada",IF(C6="LASTRE","Rediseñar o retirar","Evaluar")))))</f>
        <v/>
      </c>
      <c r="G6" s="88"/>
      <c r="H6" s="88"/>
      <c r="I6" s="151"/>
      <c r="J6" s="88"/>
      <c r="K6" s="152"/>
      <c r="L6" s="88"/>
    </row>
    <row r="7" spans="1:12" ht="67.75" customHeight="1" x14ac:dyDescent="0.2">
      <c r="A7" s="71">
        <v>2</v>
      </c>
      <c r="B7" s="71" t="str">
        <f>IF('Inventario del Portafolio'!B7="","",'Inventario del Portafolio'!B7)</f>
        <v/>
      </c>
      <c r="C7" s="71" t="str">
        <f>IF(B7="","",'Mapa estratégico'!I6)</f>
        <v/>
      </c>
      <c r="D7" s="105" t="str">
        <f>IF(B7="","",'Inventario del Portafolio'!E7)</f>
        <v/>
      </c>
      <c r="E7" s="71" t="str">
        <f>IF(B7="","",'Inventario del Portafolio'!H7)</f>
        <v/>
      </c>
      <c r="F7" s="71" t="str">
        <f t="shared" si="0"/>
        <v/>
      </c>
      <c r="G7" s="88"/>
      <c r="H7" s="88"/>
      <c r="I7" s="151"/>
      <c r="J7" s="88"/>
      <c r="K7" s="152"/>
      <c r="L7" s="88"/>
    </row>
    <row r="8" spans="1:12" ht="67.75" customHeight="1" x14ac:dyDescent="0.2">
      <c r="A8" s="71">
        <v>3</v>
      </c>
      <c r="B8" s="71" t="str">
        <f>IF('Inventario del Portafolio'!B8="","",'Inventario del Portafolio'!B8)</f>
        <v/>
      </c>
      <c r="C8" s="71" t="str">
        <f>IF(B8="","",'Mapa estratégico'!I7)</f>
        <v/>
      </c>
      <c r="D8" s="105" t="str">
        <f>IF(B8="","",'Inventario del Portafolio'!E8)</f>
        <v/>
      </c>
      <c r="E8" s="71" t="str">
        <f>IF(B8="","",'Inventario del Portafolio'!H8)</f>
        <v/>
      </c>
      <c r="F8" s="71" t="str">
        <f t="shared" si="0"/>
        <v/>
      </c>
      <c r="G8" s="88"/>
      <c r="H8" s="88"/>
      <c r="I8" s="151"/>
      <c r="J8" s="88"/>
      <c r="K8" s="152"/>
      <c r="L8" s="88"/>
    </row>
    <row r="9" spans="1:12" ht="67.75" customHeight="1" x14ac:dyDescent="0.2">
      <c r="A9" s="71">
        <v>4</v>
      </c>
      <c r="B9" s="71" t="str">
        <f>IF('Inventario del Portafolio'!B9="","",'Inventario del Portafolio'!B9)</f>
        <v/>
      </c>
      <c r="C9" s="71" t="str">
        <f>IF(B9="","",'Mapa estratégico'!I8)</f>
        <v/>
      </c>
      <c r="D9" s="105" t="str">
        <f>IF(B9="","",'Inventario del Portafolio'!E9)</f>
        <v/>
      </c>
      <c r="E9" s="71" t="str">
        <f>IF(B9="","",'Inventario del Portafolio'!H9)</f>
        <v/>
      </c>
      <c r="F9" s="71" t="str">
        <f t="shared" si="0"/>
        <v/>
      </c>
      <c r="G9" s="88"/>
      <c r="H9" s="88"/>
      <c r="I9" s="151"/>
      <c r="J9" s="88"/>
      <c r="K9" s="152"/>
      <c r="L9" s="88"/>
    </row>
    <row r="10" spans="1:12" ht="67.75" customHeight="1" x14ac:dyDescent="0.2">
      <c r="A10" s="71">
        <v>5</v>
      </c>
      <c r="B10" s="71" t="str">
        <f>IF('Inventario del Portafolio'!B10="","",'Inventario del Portafolio'!B10)</f>
        <v/>
      </c>
      <c r="C10" s="71" t="str">
        <f>IF(B10="","",'Mapa estratégico'!I9)</f>
        <v/>
      </c>
      <c r="D10" s="105" t="str">
        <f>IF(B10="","",'Inventario del Portafolio'!E10)</f>
        <v/>
      </c>
      <c r="E10" s="71" t="str">
        <f>IF(B10="","",'Inventario del Portafolio'!H10)</f>
        <v/>
      </c>
      <c r="F10" s="71" t="str">
        <f t="shared" si="0"/>
        <v/>
      </c>
      <c r="G10" s="88"/>
      <c r="H10" s="88"/>
      <c r="I10" s="151"/>
      <c r="J10" s="88"/>
      <c r="K10" s="152"/>
      <c r="L10" s="88"/>
    </row>
    <row r="11" spans="1:12" ht="67.75" customHeight="1" x14ac:dyDescent="0.2">
      <c r="A11" s="71">
        <v>6</v>
      </c>
      <c r="B11" s="71" t="str">
        <f>IF('Inventario del Portafolio'!B11="","",'Inventario del Portafolio'!B11)</f>
        <v/>
      </c>
      <c r="C11" s="71" t="str">
        <f>IF(B11="","",'Mapa estratégico'!I10)</f>
        <v/>
      </c>
      <c r="D11" s="105" t="str">
        <f>IF(B11="","",'Inventario del Portafolio'!E11)</f>
        <v/>
      </c>
      <c r="E11" s="71" t="str">
        <f>IF(B11="","",'Inventario del Portafolio'!H11)</f>
        <v/>
      </c>
      <c r="F11" s="71" t="str">
        <f t="shared" si="0"/>
        <v/>
      </c>
      <c r="G11" s="88"/>
      <c r="H11" s="88"/>
      <c r="I11" s="151"/>
      <c r="J11" s="88"/>
      <c r="K11" s="152"/>
      <c r="L11" s="88"/>
    </row>
    <row r="12" spans="1:12" ht="67.75" customHeight="1" x14ac:dyDescent="0.2">
      <c r="A12" s="71">
        <v>7</v>
      </c>
      <c r="B12" s="71" t="str">
        <f>IF('Inventario del Portafolio'!B12="","",'Inventario del Portafolio'!B12)</f>
        <v/>
      </c>
      <c r="C12" s="71" t="str">
        <f>IF(B12="","",'Mapa estratégico'!I11)</f>
        <v/>
      </c>
      <c r="D12" s="105" t="str">
        <f>IF(B12="","",'Inventario del Portafolio'!E12)</f>
        <v/>
      </c>
      <c r="E12" s="71" t="str">
        <f>IF(B12="","",'Inventario del Portafolio'!H12)</f>
        <v/>
      </c>
      <c r="F12" s="71" t="str">
        <f t="shared" si="0"/>
        <v/>
      </c>
      <c r="G12" s="88"/>
      <c r="H12" s="88"/>
      <c r="I12" s="151"/>
      <c r="J12" s="88"/>
      <c r="K12" s="152"/>
      <c r="L12" s="88"/>
    </row>
    <row r="13" spans="1:12" ht="67.75" customHeight="1" x14ac:dyDescent="0.2">
      <c r="A13" s="71">
        <v>8</v>
      </c>
      <c r="B13" s="71" t="str">
        <f>IF('Inventario del Portafolio'!B13="","",'Inventario del Portafolio'!B13)</f>
        <v/>
      </c>
      <c r="C13" s="71" t="str">
        <f>IF(B13="","",'Mapa estratégico'!I12)</f>
        <v/>
      </c>
      <c r="D13" s="105" t="str">
        <f>IF(B13="","",'Inventario del Portafolio'!E13)</f>
        <v/>
      </c>
      <c r="E13" s="71" t="str">
        <f>IF(B13="","",'Inventario del Portafolio'!H13)</f>
        <v/>
      </c>
      <c r="F13" s="71" t="str">
        <f t="shared" si="0"/>
        <v/>
      </c>
      <c r="G13" s="88"/>
      <c r="H13" s="88"/>
      <c r="I13" s="151"/>
      <c r="J13" s="88"/>
      <c r="K13" s="152"/>
      <c r="L13" s="88"/>
    </row>
    <row r="14" spans="1:12" ht="67.75" customHeight="1" x14ac:dyDescent="0.2">
      <c r="A14" s="71">
        <v>9</v>
      </c>
      <c r="B14" s="71" t="str">
        <f>IF('Inventario del Portafolio'!B14="","",'Inventario del Portafolio'!B14)</f>
        <v/>
      </c>
      <c r="C14" s="71" t="str">
        <f>IF(B14="","",'Mapa estratégico'!I13)</f>
        <v/>
      </c>
      <c r="D14" s="105" t="str">
        <f>IF(B14="","",'Inventario del Portafolio'!E14)</f>
        <v/>
      </c>
      <c r="E14" s="71" t="str">
        <f>IF(B14="","",'Inventario del Portafolio'!H14)</f>
        <v/>
      </c>
      <c r="F14" s="71" t="str">
        <f t="shared" si="0"/>
        <v/>
      </c>
      <c r="G14" s="88"/>
      <c r="H14" s="88"/>
      <c r="I14" s="88"/>
      <c r="J14" s="88"/>
      <c r="K14" s="152"/>
      <c r="L14" s="88"/>
    </row>
    <row r="15" spans="1:12" ht="67.75" customHeight="1" x14ac:dyDescent="0.2">
      <c r="A15" s="71">
        <v>10</v>
      </c>
      <c r="B15" s="71" t="str">
        <f>IF('Inventario del Portafolio'!B15="","",'Inventario del Portafolio'!B15)</f>
        <v/>
      </c>
      <c r="C15" s="71" t="str">
        <f>IF(B15="","",'Mapa estratégico'!I14)</f>
        <v/>
      </c>
      <c r="D15" s="105" t="str">
        <f>IF(B15="","",'Inventario del Portafolio'!E15)</f>
        <v/>
      </c>
      <c r="E15" s="71" t="str">
        <f>IF(B15="","",'Inventario del Portafolio'!H15)</f>
        <v/>
      </c>
      <c r="F15" s="71" t="str">
        <f t="shared" si="0"/>
        <v/>
      </c>
      <c r="G15" s="88"/>
      <c r="H15" s="88"/>
      <c r="I15" s="88"/>
      <c r="J15" s="88"/>
      <c r="K15" s="152"/>
      <c r="L15" s="88"/>
    </row>
  </sheetData>
  <mergeCells count="10">
    <mergeCell ref="A1:L1"/>
    <mergeCell ref="J2:L2"/>
    <mergeCell ref="A3:C3"/>
    <mergeCell ref="A4:C4"/>
    <mergeCell ref="D3:F3"/>
    <mergeCell ref="D4:F4"/>
    <mergeCell ref="G3:I3"/>
    <mergeCell ref="G4:I4"/>
    <mergeCell ref="J3:L3"/>
    <mergeCell ref="J4:L4"/>
  </mergeCells>
  <conditionalFormatting sqref="C6:C15">
    <cfRule type="expression" dxfId="3" priority="1">
      <formula>C6="ESTRELLA"</formula>
    </cfRule>
    <cfRule type="expression" dxfId="2" priority="2">
      <formula>C6="LASTRE"</formula>
    </cfRule>
  </conditionalFormatting>
  <dataValidations count="2">
    <dataValidation type="list" sqref="G6:G15" xr:uid="{00000000-0002-0000-0900-000000000000}">
      <formula1>"Escalar,Optimizar,Mantener,Rediseñar,Retirar"</formula1>
    </dataValidation>
    <dataValidation type="list" sqref="L6:L15" xr:uid="{00000000-0002-0000-0900-000001000000}">
      <formula1>"No iniciado,En curso,Bloqueado,Completado"</formula1>
    </dataValidation>
  </dataValidations>
  <pageMargins left="0.25" right="0.25" top="0.75" bottom="0.75" header="0.3" footer="0.3"/>
  <pageSetup paperSize="9" scale="55" orientation="landscape" horizontalDpi="0" verticalDpi="0" copies="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topLeftCell="A11" workbookViewId="0">
      <selection activeCell="I15" sqref="I15"/>
    </sheetView>
  </sheetViews>
  <sheetFormatPr baseColWidth="10" defaultColWidth="8.83203125" defaultRowHeight="16" x14ac:dyDescent="0.2"/>
  <cols>
    <col min="1" max="1" width="12.1640625" customWidth="1"/>
    <col min="2" max="2" width="29.5" customWidth="1"/>
    <col min="3" max="4" width="28" customWidth="1"/>
    <col min="5" max="5" width="14" customWidth="1"/>
    <col min="6" max="6" width="19.83203125" customWidth="1"/>
    <col min="7" max="7" width="20.6640625" customWidth="1"/>
    <col min="8" max="8" width="12" style="221" customWidth="1"/>
    <col min="9" max="10" width="25" customWidth="1"/>
  </cols>
  <sheetData>
    <row r="1" spans="1:10" ht="67.75" customHeight="1" x14ac:dyDescent="0.2">
      <c r="A1" s="49" t="s">
        <v>278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44.25" customHeight="1" x14ac:dyDescent="0.2">
      <c r="A2" s="8" t="s">
        <v>279</v>
      </c>
      <c r="B2" s="8"/>
      <c r="C2" s="8"/>
      <c r="D2" s="8"/>
      <c r="E2" s="8"/>
      <c r="F2" s="8"/>
      <c r="G2" s="8"/>
      <c r="H2" s="50" t="s">
        <v>280</v>
      </c>
      <c r="I2" s="51"/>
      <c r="J2" s="52"/>
    </row>
    <row r="3" spans="1:10" s="104" customFormat="1" ht="19" x14ac:dyDescent="0.25">
      <c r="A3" s="84" t="s">
        <v>281</v>
      </c>
      <c r="B3" s="84"/>
      <c r="C3" s="84"/>
      <c r="D3" s="218">
        <f>IFERROR(AVERAGE(H12:H23),0)</f>
        <v>0</v>
      </c>
      <c r="E3" s="84" t="s">
        <v>282</v>
      </c>
      <c r="F3" s="84"/>
      <c r="G3" s="84"/>
      <c r="H3" s="219">
        <f>COUNTIF(G12:G23,"Completado")</f>
        <v>0</v>
      </c>
      <c r="I3" s="73" t="s">
        <v>283</v>
      </c>
      <c r="J3" s="220">
        <f>COUNTIF(G12:G23,"Bloqueado")</f>
        <v>0</v>
      </c>
    </row>
    <row r="5" spans="1:10" s="104" customFormat="1" ht="71" customHeight="1" x14ac:dyDescent="0.25">
      <c r="A5" s="73" t="s">
        <v>186</v>
      </c>
      <c r="B5" s="73" t="s">
        <v>284</v>
      </c>
      <c r="C5" s="73" t="s">
        <v>285</v>
      </c>
      <c r="D5" s="73" t="s">
        <v>286</v>
      </c>
      <c r="E5" s="73" t="s">
        <v>287</v>
      </c>
      <c r="F5" s="73" t="s">
        <v>288</v>
      </c>
      <c r="G5" s="73" t="s">
        <v>212</v>
      </c>
      <c r="H5" s="73" t="s">
        <v>261</v>
      </c>
      <c r="I5" s="73" t="s">
        <v>289</v>
      </c>
      <c r="J5" s="73" t="s">
        <v>290</v>
      </c>
    </row>
    <row r="6" spans="1:10" ht="71" customHeight="1" x14ac:dyDescent="0.2">
      <c r="A6" s="12">
        <v>1</v>
      </c>
      <c r="B6" s="13"/>
      <c r="C6" s="13"/>
      <c r="D6" s="13"/>
      <c r="E6" s="13"/>
      <c r="F6" s="13"/>
      <c r="G6" s="13"/>
      <c r="H6" s="10"/>
      <c r="I6" s="18"/>
      <c r="J6" s="17"/>
    </row>
    <row r="7" spans="1:10" ht="71" customHeight="1" x14ac:dyDescent="0.2">
      <c r="A7" s="12">
        <v>2</v>
      </c>
      <c r="B7" s="13"/>
      <c r="C7" s="13"/>
      <c r="D7" s="13"/>
      <c r="E7" s="13"/>
      <c r="F7" s="13"/>
      <c r="G7" s="13"/>
      <c r="H7" s="10"/>
      <c r="I7" s="18"/>
      <c r="J7" s="17"/>
    </row>
    <row r="8" spans="1:10" ht="71" customHeight="1" x14ac:dyDescent="0.2">
      <c r="A8" s="12">
        <v>3</v>
      </c>
      <c r="B8" s="13"/>
      <c r="C8" s="13"/>
      <c r="D8" s="13"/>
      <c r="E8" s="13"/>
      <c r="F8" s="13"/>
      <c r="G8" s="13"/>
      <c r="H8" s="10"/>
      <c r="I8" s="18"/>
      <c r="J8" s="17"/>
    </row>
    <row r="11" spans="1:10" s="104" customFormat="1" ht="62.25" customHeight="1" x14ac:dyDescent="0.25">
      <c r="A11" s="78" t="s">
        <v>291</v>
      </c>
      <c r="B11" s="78" t="s">
        <v>186</v>
      </c>
      <c r="C11" s="78" t="s">
        <v>292</v>
      </c>
      <c r="D11" s="78" t="s">
        <v>293</v>
      </c>
      <c r="E11" s="78" t="s">
        <v>275</v>
      </c>
      <c r="F11" s="78" t="s">
        <v>212</v>
      </c>
      <c r="G11" s="78" t="s">
        <v>261</v>
      </c>
      <c r="H11" s="78" t="s">
        <v>289</v>
      </c>
      <c r="I11" s="78" t="s">
        <v>294</v>
      </c>
      <c r="J11" s="78" t="s">
        <v>295</v>
      </c>
    </row>
    <row r="12" spans="1:10" s="104" customFormat="1" ht="62.25" customHeight="1" x14ac:dyDescent="0.25">
      <c r="A12" s="87">
        <v>1</v>
      </c>
      <c r="B12" s="87">
        <v>1</v>
      </c>
      <c r="C12" s="88"/>
      <c r="D12" s="88"/>
      <c r="E12" s="152"/>
      <c r="F12" s="88"/>
      <c r="G12" s="88"/>
      <c r="H12" s="145">
        <v>0</v>
      </c>
      <c r="I12" s="88"/>
      <c r="J12" s="88"/>
    </row>
    <row r="13" spans="1:10" s="104" customFormat="1" ht="62.25" customHeight="1" x14ac:dyDescent="0.25">
      <c r="A13" s="87">
        <v>1</v>
      </c>
      <c r="B13" s="87">
        <v>2</v>
      </c>
      <c r="C13" s="88"/>
      <c r="D13" s="88"/>
      <c r="E13" s="152"/>
      <c r="F13" s="88"/>
      <c r="G13" s="88"/>
      <c r="H13" s="145">
        <v>0</v>
      </c>
      <c r="I13" s="88"/>
      <c r="J13" s="88"/>
    </row>
    <row r="14" spans="1:10" s="104" customFormat="1" ht="62.25" customHeight="1" x14ac:dyDescent="0.25">
      <c r="A14" s="87">
        <v>1</v>
      </c>
      <c r="B14" s="87">
        <v>3</v>
      </c>
      <c r="C14" s="88"/>
      <c r="D14" s="88"/>
      <c r="E14" s="152"/>
      <c r="F14" s="88"/>
      <c r="G14" s="88"/>
      <c r="H14" s="145">
        <v>0</v>
      </c>
      <c r="I14" s="88"/>
      <c r="J14" s="88"/>
    </row>
    <row r="15" spans="1:10" s="104" customFormat="1" ht="62.25" customHeight="1" x14ac:dyDescent="0.25">
      <c r="A15" s="87">
        <v>2</v>
      </c>
      <c r="B15" s="87">
        <v>1</v>
      </c>
      <c r="C15" s="88"/>
      <c r="D15" s="88"/>
      <c r="E15" s="152"/>
      <c r="F15" s="88"/>
      <c r="G15" s="88"/>
      <c r="H15" s="145">
        <v>0</v>
      </c>
      <c r="I15" s="88"/>
      <c r="J15" s="88"/>
    </row>
    <row r="16" spans="1:10" s="104" customFormat="1" ht="62.25" customHeight="1" x14ac:dyDescent="0.25">
      <c r="A16" s="87">
        <v>2</v>
      </c>
      <c r="B16" s="87">
        <v>2</v>
      </c>
      <c r="C16" s="88"/>
      <c r="D16" s="88"/>
      <c r="E16" s="152"/>
      <c r="F16" s="88"/>
      <c r="G16" s="88"/>
      <c r="H16" s="145">
        <v>0</v>
      </c>
      <c r="I16" s="88"/>
      <c r="J16" s="88"/>
    </row>
    <row r="17" spans="1:10" s="104" customFormat="1" ht="62.25" customHeight="1" x14ac:dyDescent="0.25">
      <c r="A17" s="87">
        <v>2</v>
      </c>
      <c r="B17" s="87">
        <v>3</v>
      </c>
      <c r="C17" s="88"/>
      <c r="D17" s="88"/>
      <c r="E17" s="152"/>
      <c r="F17" s="88"/>
      <c r="G17" s="88"/>
      <c r="H17" s="145">
        <v>0</v>
      </c>
      <c r="I17" s="88"/>
      <c r="J17" s="88"/>
    </row>
    <row r="18" spans="1:10" s="104" customFormat="1" ht="62.25" customHeight="1" x14ac:dyDescent="0.25">
      <c r="A18" s="87">
        <v>3</v>
      </c>
      <c r="B18" s="87">
        <v>1</v>
      </c>
      <c r="C18" s="88"/>
      <c r="D18" s="88"/>
      <c r="E18" s="152"/>
      <c r="F18" s="88"/>
      <c r="G18" s="88"/>
      <c r="H18" s="145">
        <v>0</v>
      </c>
      <c r="I18" s="88"/>
      <c r="J18" s="88"/>
    </row>
    <row r="19" spans="1:10" s="104" customFormat="1" ht="62.25" customHeight="1" x14ac:dyDescent="0.25">
      <c r="A19" s="87">
        <v>3</v>
      </c>
      <c r="B19" s="87">
        <v>2</v>
      </c>
      <c r="C19" s="88"/>
      <c r="D19" s="88"/>
      <c r="E19" s="152"/>
      <c r="F19" s="88"/>
      <c r="G19" s="88"/>
      <c r="H19" s="145">
        <v>0</v>
      </c>
      <c r="I19" s="88"/>
      <c r="J19" s="88"/>
    </row>
    <row r="20" spans="1:10" s="104" customFormat="1" ht="62.25" customHeight="1" x14ac:dyDescent="0.25">
      <c r="A20" s="87">
        <v>3</v>
      </c>
      <c r="B20" s="87">
        <v>3</v>
      </c>
      <c r="C20" s="88"/>
      <c r="D20" s="88"/>
      <c r="E20" s="152"/>
      <c r="F20" s="88"/>
      <c r="G20" s="88"/>
      <c r="H20" s="145">
        <v>0</v>
      </c>
      <c r="I20" s="88"/>
      <c r="J20" s="88"/>
    </row>
    <row r="21" spans="1:10" s="104" customFormat="1" ht="62.25" customHeight="1" x14ac:dyDescent="0.25">
      <c r="A21" s="87">
        <v>4</v>
      </c>
      <c r="B21" s="87">
        <v>1</v>
      </c>
      <c r="C21" s="88"/>
      <c r="D21" s="88"/>
      <c r="E21" s="152"/>
      <c r="F21" s="88"/>
      <c r="G21" s="88"/>
      <c r="H21" s="145">
        <v>0</v>
      </c>
      <c r="I21" s="88"/>
      <c r="J21" s="88"/>
    </row>
    <row r="22" spans="1:10" s="104" customFormat="1" ht="62.25" customHeight="1" x14ac:dyDescent="0.25">
      <c r="A22" s="87">
        <v>4</v>
      </c>
      <c r="B22" s="87">
        <v>2</v>
      </c>
      <c r="C22" s="88"/>
      <c r="D22" s="88"/>
      <c r="E22" s="152"/>
      <c r="F22" s="88"/>
      <c r="G22" s="88"/>
      <c r="H22" s="145">
        <v>0</v>
      </c>
      <c r="I22" s="88"/>
      <c r="J22" s="88"/>
    </row>
    <row r="23" spans="1:10" s="104" customFormat="1" ht="62.25" customHeight="1" x14ac:dyDescent="0.25">
      <c r="A23" s="87">
        <v>4</v>
      </c>
      <c r="B23" s="87">
        <v>3</v>
      </c>
      <c r="C23" s="88"/>
      <c r="D23" s="88"/>
      <c r="E23" s="152"/>
      <c r="F23" s="88"/>
      <c r="G23" s="88"/>
      <c r="H23" s="145">
        <v>0</v>
      </c>
      <c r="I23" s="88"/>
      <c r="J23" s="88"/>
    </row>
  </sheetData>
  <mergeCells count="4">
    <mergeCell ref="A1:J1"/>
    <mergeCell ref="H2:J2"/>
    <mergeCell ref="A3:C3"/>
    <mergeCell ref="E3:G3"/>
  </mergeCells>
  <conditionalFormatting sqref="G12:G23">
    <cfRule type="expression" dxfId="1" priority="1">
      <formula>G12="Completado"</formula>
    </cfRule>
    <cfRule type="expression" dxfId="0" priority="2">
      <formula>G12="Bloqueado"</formula>
    </cfRule>
  </conditionalFormatting>
  <dataValidations count="2">
    <dataValidation type="list" sqref="H6:H8 G12:G23" xr:uid="{00000000-0002-0000-0A00-000000000000}">
      <formula1>"No iniciado,En curso,Bloqueado,Completado"</formula1>
    </dataValidation>
    <dataValidation type="list" sqref="B12:B23" xr:uid="{00000000-0002-0000-0A00-000001000000}">
      <formula1>"1,2,3"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topLeftCell="A6" workbookViewId="0">
      <selection activeCell="A18" sqref="A18:N20"/>
    </sheetView>
  </sheetViews>
  <sheetFormatPr baseColWidth="10" defaultColWidth="8.83203125" defaultRowHeight="16" x14ac:dyDescent="0.2"/>
  <cols>
    <col min="1" max="14" width="12" customWidth="1"/>
    <col min="16" max="16" width="31.1640625" customWidth="1"/>
    <col min="17" max="17" width="10.5" customWidth="1"/>
  </cols>
  <sheetData>
    <row r="1" spans="1:17" ht="67.75" customHeight="1" x14ac:dyDescent="0.2">
      <c r="A1" s="49" t="s">
        <v>296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7" ht="44.25" customHeight="1" x14ac:dyDescent="0.25">
      <c r="A2" s="8" t="s">
        <v>297</v>
      </c>
      <c r="B2" s="8"/>
      <c r="C2" s="8"/>
      <c r="D2" s="8"/>
      <c r="E2" s="8"/>
      <c r="F2" s="8"/>
      <c r="G2" s="8"/>
      <c r="H2" s="8"/>
      <c r="I2" s="8"/>
      <c r="J2" s="8"/>
      <c r="K2" s="8"/>
      <c r="L2" s="50" t="s">
        <v>298</v>
      </c>
      <c r="M2" s="51"/>
      <c r="N2" s="52"/>
      <c r="P2" s="154" t="s">
        <v>184</v>
      </c>
      <c r="Q2" s="155" t="s">
        <v>299</v>
      </c>
    </row>
    <row r="3" spans="1:17" ht="46.25" customHeight="1" x14ac:dyDescent="0.25">
      <c r="A3" s="84" t="s">
        <v>300</v>
      </c>
      <c r="B3" s="84"/>
      <c r="C3" s="84"/>
      <c r="D3" s="84"/>
      <c r="E3" s="84" t="s">
        <v>270</v>
      </c>
      <c r="F3" s="84"/>
      <c r="G3" s="84"/>
      <c r="H3" s="84" t="s">
        <v>301</v>
      </c>
      <c r="I3" s="84"/>
      <c r="J3" s="84"/>
      <c r="K3" s="84" t="s">
        <v>255</v>
      </c>
      <c r="L3" s="84"/>
      <c r="M3" s="84"/>
      <c r="N3" s="84"/>
      <c r="P3" s="156" t="s">
        <v>108</v>
      </c>
      <c r="Q3" s="157">
        <f>COUNTIF('Mapa estratégico'!I5:I14,"ESTRELLA")</f>
        <v>0</v>
      </c>
    </row>
    <row r="4" spans="1:17" ht="46.25" customHeight="1" x14ac:dyDescent="0.25">
      <c r="A4" s="57" t="str">
        <f>IF('Indice de fragilidad'!D13="","",'Indice de fragilidad'!D13)</f>
        <v/>
      </c>
      <c r="B4" s="57"/>
      <c r="C4" s="153" t="str">
        <f>'Indice de fragilidad'!C13</f>
        <v>Completa las 9 respuestas</v>
      </c>
      <c r="D4" s="153"/>
      <c r="E4" s="58">
        <f>'Inventario del Portafolio'!E16</f>
        <v>0</v>
      </c>
      <c r="F4" s="58"/>
      <c r="G4" s="58"/>
      <c r="H4" s="59">
        <f>IFERROR(MAX('Inventario del Portafolio'!J6:J15),0)</f>
        <v>0</v>
      </c>
      <c r="I4" s="59"/>
      <c r="J4" s="59"/>
      <c r="K4" s="60">
        <f>'Inventario del Portafolio'!H16</f>
        <v>0</v>
      </c>
      <c r="L4" s="60"/>
      <c r="M4" s="60"/>
      <c r="N4" s="60"/>
      <c r="P4" s="158" t="s">
        <v>106</v>
      </c>
      <c r="Q4" s="159">
        <f>COUNTIF('Mapa estratégico'!I5:I14,"PAN")</f>
        <v>0</v>
      </c>
    </row>
    <row r="5" spans="1:17" ht="46.25" customHeight="1" x14ac:dyDescent="0.25">
      <c r="A5" s="57"/>
      <c r="B5" s="57"/>
      <c r="C5" s="153"/>
      <c r="D5" s="153"/>
      <c r="E5" s="58"/>
      <c r="F5" s="58"/>
      <c r="G5" s="58"/>
      <c r="H5" s="59"/>
      <c r="I5" s="59"/>
      <c r="J5" s="59"/>
      <c r="K5" s="60"/>
      <c r="L5" s="60"/>
      <c r="M5" s="60"/>
      <c r="N5" s="60"/>
      <c r="P5" s="158" t="s">
        <v>107</v>
      </c>
      <c r="Q5" s="159">
        <f>COUNTIF('Mapa estratégico'!I5:I14,"TORTA")</f>
        <v>0</v>
      </c>
    </row>
    <row r="6" spans="1:17" ht="46.25" customHeight="1" x14ac:dyDescent="0.25">
      <c r="A6" s="57"/>
      <c r="B6" s="57"/>
      <c r="C6" s="153"/>
      <c r="D6" s="153"/>
      <c r="E6" s="58"/>
      <c r="F6" s="58"/>
      <c r="G6" s="58"/>
      <c r="H6" s="59"/>
      <c r="I6" s="59"/>
      <c r="J6" s="59"/>
      <c r="K6" s="60"/>
      <c r="L6" s="60"/>
      <c r="M6" s="60"/>
      <c r="N6" s="60"/>
      <c r="P6" s="160" t="s">
        <v>194</v>
      </c>
      <c r="Q6" s="161">
        <f>COUNTIF('Mapa estratégico'!I5:I14,"LASTRE")</f>
        <v>0</v>
      </c>
    </row>
    <row r="7" spans="1:17" ht="46.2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P7" s="104"/>
      <c r="Q7" s="104"/>
    </row>
    <row r="8" spans="1:17" ht="46.25" customHeight="1" x14ac:dyDescent="0.25">
      <c r="A8" s="84" t="s">
        <v>302</v>
      </c>
      <c r="B8" s="84"/>
      <c r="C8" s="84"/>
      <c r="D8" s="84" t="s">
        <v>106</v>
      </c>
      <c r="E8" s="84"/>
      <c r="F8" s="84"/>
      <c r="G8" s="84" t="s">
        <v>303</v>
      </c>
      <c r="H8" s="84"/>
      <c r="I8" s="84"/>
      <c r="J8" s="84" t="s">
        <v>304</v>
      </c>
      <c r="K8" s="84"/>
      <c r="L8" s="84"/>
      <c r="M8" s="84" t="s">
        <v>305</v>
      </c>
      <c r="N8" s="84"/>
      <c r="P8" s="104"/>
      <c r="Q8" s="104"/>
    </row>
    <row r="9" spans="1:17" ht="46.25" customHeight="1" x14ac:dyDescent="0.25">
      <c r="A9" s="63">
        <f>COUNTIF('Mapa estratégico'!I5:I14,"ESTRELLA")</f>
        <v>0</v>
      </c>
      <c r="B9" s="63"/>
      <c r="C9" s="63"/>
      <c r="D9" s="64">
        <f>COUNTIF('Mapa estratégico'!I5:I14,"PAN")</f>
        <v>0</v>
      </c>
      <c r="E9" s="64"/>
      <c r="F9" s="64"/>
      <c r="G9" s="65">
        <f>COUNTIF('Mapa estratégico'!I5:I14,"TORTA")</f>
        <v>0</v>
      </c>
      <c r="H9" s="65"/>
      <c r="I9" s="65"/>
      <c r="J9" s="61">
        <f>COUNTIF('Mapa estratégico'!I5:I14,"LASTRE")</f>
        <v>0</v>
      </c>
      <c r="K9" s="61"/>
      <c r="L9" s="61"/>
      <c r="M9" s="62">
        <f>COUNTIF('Mapa estratégico'!I5:I14,"SIN EVALUAR")</f>
        <v>0</v>
      </c>
      <c r="N9" s="62"/>
      <c r="P9" s="155" t="s">
        <v>306</v>
      </c>
      <c r="Q9" s="162" t="s">
        <v>307</v>
      </c>
    </row>
    <row r="10" spans="1:17" ht="46.25" customHeight="1" x14ac:dyDescent="0.25">
      <c r="A10" s="63"/>
      <c r="B10" s="63"/>
      <c r="C10" s="63"/>
      <c r="D10" s="64"/>
      <c r="E10" s="64"/>
      <c r="F10" s="64"/>
      <c r="G10" s="65"/>
      <c r="H10" s="65"/>
      <c r="I10" s="65"/>
      <c r="J10" s="61"/>
      <c r="K10" s="61"/>
      <c r="L10" s="61"/>
      <c r="M10" s="62"/>
      <c r="N10" s="62"/>
      <c r="P10" s="157" t="str">
        <f>IF('Inventario del Portafolio'!B6="","",'Inventario del Portafolio'!B6)</f>
        <v/>
      </c>
      <c r="Q10" s="163" t="str">
        <f>IF(P10="","",'Inventario del Portafolio'!E6)</f>
        <v/>
      </c>
    </row>
    <row r="11" spans="1:17" ht="46.25" customHeight="1" x14ac:dyDescent="0.25">
      <c r="A11" s="63"/>
      <c r="B11" s="63"/>
      <c r="C11" s="63"/>
      <c r="D11" s="64"/>
      <c r="E11" s="64"/>
      <c r="F11" s="64"/>
      <c r="G11" s="65"/>
      <c r="H11" s="65"/>
      <c r="I11" s="65"/>
      <c r="J11" s="61"/>
      <c r="K11" s="61"/>
      <c r="L11" s="61"/>
      <c r="M11" s="62"/>
      <c r="N11" s="62"/>
      <c r="P11" s="159" t="str">
        <f>IF('Inventario del Portafolio'!B7="","",'Inventario del Portafolio'!B7)</f>
        <v/>
      </c>
      <c r="Q11" s="164" t="str">
        <f>IF(P11="","",'Inventario del Portafolio'!E7)</f>
        <v/>
      </c>
    </row>
    <row r="12" spans="1:17" ht="46.2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P12" s="159" t="str">
        <f>IF('Inventario del Portafolio'!B8="","",'Inventario del Portafolio'!B8)</f>
        <v/>
      </c>
      <c r="Q12" s="164" t="str">
        <f>IF(P12="","",'Inventario del Portafolio'!E8)</f>
        <v/>
      </c>
    </row>
    <row r="13" spans="1:17" ht="46.25" customHeight="1" x14ac:dyDescent="0.25">
      <c r="A13" s="84" t="s">
        <v>249</v>
      </c>
      <c r="B13" s="84"/>
      <c r="C13" s="84"/>
      <c r="D13" s="84" t="s">
        <v>260</v>
      </c>
      <c r="E13" s="84"/>
      <c r="F13" s="84"/>
      <c r="G13" s="84" t="s">
        <v>251</v>
      </c>
      <c r="H13" s="84"/>
      <c r="I13" s="84"/>
      <c r="J13" s="84" t="s">
        <v>308</v>
      </c>
      <c r="K13" s="84"/>
      <c r="L13" s="84"/>
      <c r="M13" s="84" t="s">
        <v>309</v>
      </c>
      <c r="N13" s="84"/>
      <c r="P13" s="159" t="str">
        <f>IF('Inventario del Portafolio'!B9="","",'Inventario del Portafolio'!B9)</f>
        <v/>
      </c>
      <c r="Q13" s="164" t="str">
        <f>IF(P13="","",'Inventario del Portafolio'!E9)</f>
        <v/>
      </c>
    </row>
    <row r="14" spans="1:17" ht="46.25" customHeight="1" x14ac:dyDescent="0.25">
      <c r="A14" s="68">
        <f>'Capacidad del Horno'!D4</f>
        <v>0</v>
      </c>
      <c r="B14" s="68"/>
      <c r="C14" s="68"/>
      <c r="D14" s="69">
        <f>'Capacidad del Horno'!G4</f>
        <v>0</v>
      </c>
      <c r="E14" s="69"/>
      <c r="F14" s="69"/>
      <c r="G14" s="70">
        <f>'Capacidad del Horno'!J4</f>
        <v>0</v>
      </c>
      <c r="H14" s="70"/>
      <c r="I14" s="70"/>
      <c r="J14" s="66">
        <f>'Plan 30D'!D3</f>
        <v>0</v>
      </c>
      <c r="K14" s="66"/>
      <c r="L14" s="66"/>
      <c r="M14" s="67">
        <f>'Plan 30D'!J3</f>
        <v>0</v>
      </c>
      <c r="N14" s="67"/>
      <c r="P14" s="159" t="str">
        <f>IF('Inventario del Portafolio'!B10="","",'Inventario del Portafolio'!B10)</f>
        <v/>
      </c>
      <c r="Q14" s="164" t="str">
        <f>IF(P14="","",'Inventario del Portafolio'!E10)</f>
        <v/>
      </c>
    </row>
    <row r="15" spans="1:17" ht="46.25" customHeight="1" x14ac:dyDescent="0.25">
      <c r="A15" s="68"/>
      <c r="B15" s="68"/>
      <c r="C15" s="68"/>
      <c r="D15" s="69"/>
      <c r="E15" s="69"/>
      <c r="F15" s="69"/>
      <c r="G15" s="70"/>
      <c r="H15" s="70"/>
      <c r="I15" s="70"/>
      <c r="J15" s="66"/>
      <c r="K15" s="66"/>
      <c r="L15" s="66"/>
      <c r="M15" s="67"/>
      <c r="N15" s="67"/>
      <c r="P15" s="159" t="str">
        <f>IF('Inventario del Portafolio'!B11="","",'Inventario del Portafolio'!B11)</f>
        <v/>
      </c>
      <c r="Q15" s="164" t="str">
        <f>IF(P15="","",'Inventario del Portafolio'!E11)</f>
        <v/>
      </c>
    </row>
    <row r="16" spans="1:17" ht="46.25" customHeight="1" x14ac:dyDescent="0.25">
      <c r="A16" s="68"/>
      <c r="B16" s="68"/>
      <c r="C16" s="68"/>
      <c r="D16" s="69"/>
      <c r="E16" s="69"/>
      <c r="F16" s="69"/>
      <c r="G16" s="70"/>
      <c r="H16" s="70"/>
      <c r="I16" s="70"/>
      <c r="J16" s="66"/>
      <c r="K16" s="66"/>
      <c r="L16" s="66"/>
      <c r="M16" s="67"/>
      <c r="N16" s="67"/>
      <c r="P16" s="159" t="str">
        <f>IF('Inventario del Portafolio'!B12="","",'Inventario del Portafolio'!B12)</f>
        <v/>
      </c>
      <c r="Q16" s="164" t="str">
        <f>IF(P16="","",'Inventario del Portafolio'!E12)</f>
        <v/>
      </c>
    </row>
    <row r="17" spans="1:17" ht="46.2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P17" s="161" t="str">
        <f>IF('Inventario del Portafolio'!B13="","",'Inventario del Portafolio'!B13)</f>
        <v/>
      </c>
      <c r="Q17" s="165" t="str">
        <f>IF(P17="","",'Inventario del Portafolio'!E13)</f>
        <v/>
      </c>
    </row>
    <row r="18" spans="1:17" ht="46.25" customHeight="1" x14ac:dyDescent="0.2">
      <c r="A18" s="166" t="s">
        <v>310</v>
      </c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P18" t="str">
        <f>IF('Inventario del Portafolio'!B14="","",'Inventario del Portafolio'!B14)</f>
        <v/>
      </c>
      <c r="Q18" t="str">
        <f>IF(P18="","",'Inventario del Portafolio'!E14)</f>
        <v/>
      </c>
    </row>
    <row r="19" spans="1:17" ht="46.25" customHeight="1" x14ac:dyDescent="0.2">
      <c r="A19" s="137" t="s">
        <v>311</v>
      </c>
      <c r="B19" s="137"/>
      <c r="C19" s="137"/>
      <c r="D19" s="167" t="str">
        <f>IFERROR(INDEX('Mapa estratégico'!B5:B14,MATCH("ESTRELLA",'Mapa estratégico'!I5:I14,0)),"No hay ESTRELLA evaluada")</f>
        <v>No hay ESTRELLA evaluada</v>
      </c>
      <c r="E19" s="167"/>
      <c r="F19" s="167"/>
      <c r="G19" s="167"/>
      <c r="H19" s="137" t="s">
        <v>312</v>
      </c>
      <c r="I19" s="137"/>
      <c r="J19" s="137"/>
      <c r="K19" s="168" t="str">
        <f>IFERROR(INDEX('Mapa estratégico'!B5:B14,MATCH("LASTRE",'Mapa estratégico'!I5:I14,0)),"No hay LASTRE evaluado")</f>
        <v>No hay LASTRE evaluado</v>
      </c>
      <c r="L19" s="168"/>
      <c r="M19" s="168"/>
      <c r="N19" s="168"/>
      <c r="P19" t="str">
        <f>IF('Inventario del Portafolio'!B15="","",'Inventario del Portafolio'!B15)</f>
        <v/>
      </c>
      <c r="Q19" t="str">
        <f>IF(P19="","",'Inventario del Portafolio'!E15)</f>
        <v/>
      </c>
    </row>
    <row r="20" spans="1:17" ht="46.25" customHeight="1" x14ac:dyDescent="0.2">
      <c r="A20" s="137" t="s">
        <v>313</v>
      </c>
      <c r="B20" s="137"/>
      <c r="C20" s="137"/>
      <c r="D20" s="169" t="str">
        <f>IF('Plan 30D'!C6="","Definir la primera prioridad del plan",'Plan 30D'!C6)</f>
        <v>Definir la primera prioridad del plan</v>
      </c>
      <c r="E20" s="169"/>
      <c r="F20" s="169"/>
      <c r="G20" s="169"/>
      <c r="H20" s="169"/>
      <c r="I20" s="169"/>
      <c r="J20" s="169"/>
      <c r="K20" s="169"/>
      <c r="L20" s="169"/>
      <c r="M20" s="169"/>
      <c r="N20" s="169"/>
    </row>
  </sheetData>
  <mergeCells count="38">
    <mergeCell ref="A20:C20"/>
    <mergeCell ref="D20:N20"/>
    <mergeCell ref="J14:L16"/>
    <mergeCell ref="M13:N13"/>
    <mergeCell ref="M14:N16"/>
    <mergeCell ref="A18:N18"/>
    <mergeCell ref="A19:C19"/>
    <mergeCell ref="D19:G19"/>
    <mergeCell ref="H19:J19"/>
    <mergeCell ref="K19:N19"/>
    <mergeCell ref="A14:C16"/>
    <mergeCell ref="D13:F13"/>
    <mergeCell ref="D14:F16"/>
    <mergeCell ref="G13:I13"/>
    <mergeCell ref="G14:I16"/>
    <mergeCell ref="J8:L8"/>
    <mergeCell ref="J9:L11"/>
    <mergeCell ref="M8:N8"/>
    <mergeCell ref="M9:N11"/>
    <mergeCell ref="A13:C13"/>
    <mergeCell ref="J13:L13"/>
    <mergeCell ref="A8:C8"/>
    <mergeCell ref="A9:C11"/>
    <mergeCell ref="D8:F8"/>
    <mergeCell ref="D9:F11"/>
    <mergeCell ref="G8:I8"/>
    <mergeCell ref="G9:I11"/>
    <mergeCell ref="A1:N1"/>
    <mergeCell ref="L2:N2"/>
    <mergeCell ref="A3:D3"/>
    <mergeCell ref="A4:B6"/>
    <mergeCell ref="C4:D6"/>
    <mergeCell ref="E3:G3"/>
    <mergeCell ref="E4:G6"/>
    <mergeCell ref="H3:J3"/>
    <mergeCell ref="H4:J6"/>
    <mergeCell ref="K3:N3"/>
    <mergeCell ref="K4:N6"/>
  </mergeCells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"/>
  <sheetViews>
    <sheetView workbookViewId="0"/>
  </sheetViews>
  <sheetFormatPr baseColWidth="10" defaultColWidth="8.83203125" defaultRowHeight="16" x14ac:dyDescent="0.2"/>
  <cols>
    <col min="1" max="1" width="29.83203125" customWidth="1"/>
    <col min="2" max="2" width="11" customWidth="1"/>
    <col min="3" max="3" width="28" customWidth="1"/>
    <col min="4" max="4" width="24" customWidth="1"/>
    <col min="5" max="5" width="22" customWidth="1"/>
    <col min="6" max="6" width="30" customWidth="1"/>
    <col min="7" max="7" width="24" customWidth="1"/>
    <col min="8" max="8" width="26" customWidth="1"/>
    <col min="9" max="9" width="30" customWidth="1"/>
    <col min="10" max="10" width="22" customWidth="1"/>
    <col min="11" max="11" width="28" customWidth="1"/>
  </cols>
  <sheetData>
    <row r="1" spans="1:11" ht="22" x14ac:dyDescent="0.2">
      <c r="A1" s="26" t="s">
        <v>314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85" x14ac:dyDescent="0.2">
      <c r="A2" s="29" t="s">
        <v>315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x14ac:dyDescent="0.2">
      <c r="A4" s="35" t="s">
        <v>316</v>
      </c>
      <c r="B4" s="36" t="s">
        <v>317</v>
      </c>
      <c r="C4" s="36" t="s">
        <v>318</v>
      </c>
      <c r="D4" s="36" t="s">
        <v>319</v>
      </c>
      <c r="E4" s="36" t="s">
        <v>320</v>
      </c>
      <c r="F4" s="36" t="s">
        <v>321</v>
      </c>
      <c r="G4" s="36" t="s">
        <v>322</v>
      </c>
      <c r="H4" s="36" t="s">
        <v>323</v>
      </c>
      <c r="I4" s="36" t="s">
        <v>324</v>
      </c>
      <c r="J4" s="36" t="s">
        <v>325</v>
      </c>
      <c r="K4" s="37" t="s">
        <v>326</v>
      </c>
    </row>
    <row r="5" spans="1:11" ht="74.75" customHeight="1" x14ac:dyDescent="0.2">
      <c r="A5" s="38" t="s">
        <v>327</v>
      </c>
      <c r="B5" s="39" t="s">
        <v>328</v>
      </c>
      <c r="C5" s="39" t="s">
        <v>329</v>
      </c>
      <c r="D5" s="39" t="s">
        <v>330</v>
      </c>
      <c r="E5" s="39" t="s">
        <v>331</v>
      </c>
      <c r="F5" s="39" t="s">
        <v>332</v>
      </c>
      <c r="G5" s="39" t="s">
        <v>333</v>
      </c>
      <c r="H5" s="39" t="s">
        <v>334</v>
      </c>
      <c r="I5" s="39" t="s">
        <v>335</v>
      </c>
      <c r="J5" s="39" t="s">
        <v>336</v>
      </c>
      <c r="K5" s="40" t="s">
        <v>337</v>
      </c>
    </row>
    <row r="6" spans="1:11" ht="74.75" customHeight="1" x14ac:dyDescent="0.2">
      <c r="A6" s="38" t="s">
        <v>338</v>
      </c>
      <c r="B6" s="39" t="s">
        <v>339</v>
      </c>
      <c r="C6" s="39" t="s">
        <v>340</v>
      </c>
      <c r="D6" s="39" t="s">
        <v>341</v>
      </c>
      <c r="E6" s="39" t="s">
        <v>342</v>
      </c>
      <c r="F6" s="39" t="s">
        <v>343</v>
      </c>
      <c r="G6" s="39" t="s">
        <v>344</v>
      </c>
      <c r="H6" s="39" t="s">
        <v>345</v>
      </c>
      <c r="I6" s="39" t="s">
        <v>346</v>
      </c>
      <c r="J6" s="39" t="s">
        <v>347</v>
      </c>
      <c r="K6" s="40" t="s">
        <v>348</v>
      </c>
    </row>
    <row r="7" spans="1:11" ht="74.75" customHeight="1" x14ac:dyDescent="0.2">
      <c r="A7" s="38" t="s">
        <v>349</v>
      </c>
      <c r="B7" s="39" t="s">
        <v>350</v>
      </c>
      <c r="C7" s="39" t="s">
        <v>351</v>
      </c>
      <c r="D7" s="39" t="s">
        <v>352</v>
      </c>
      <c r="E7" s="39" t="s">
        <v>353</v>
      </c>
      <c r="F7" s="39" t="s">
        <v>354</v>
      </c>
      <c r="G7" s="39" t="s">
        <v>355</v>
      </c>
      <c r="H7" s="39" t="s">
        <v>356</v>
      </c>
      <c r="I7" s="39" t="s">
        <v>357</v>
      </c>
      <c r="J7" s="39" t="s">
        <v>358</v>
      </c>
      <c r="K7" s="40" t="s">
        <v>359</v>
      </c>
    </row>
    <row r="8" spans="1:11" ht="74.75" customHeight="1" x14ac:dyDescent="0.2">
      <c r="A8" s="38" t="s">
        <v>360</v>
      </c>
      <c r="B8" s="39" t="s">
        <v>361</v>
      </c>
      <c r="C8" s="39" t="s">
        <v>362</v>
      </c>
      <c r="D8" s="39" t="s">
        <v>363</v>
      </c>
      <c r="E8" s="39" t="s">
        <v>364</v>
      </c>
      <c r="F8" s="39" t="s">
        <v>365</v>
      </c>
      <c r="G8" s="39" t="s">
        <v>366</v>
      </c>
      <c r="H8" s="39" t="s">
        <v>367</v>
      </c>
      <c r="I8" s="39" t="s">
        <v>368</v>
      </c>
      <c r="J8" s="39" t="s">
        <v>369</v>
      </c>
      <c r="K8" s="40" t="s">
        <v>370</v>
      </c>
    </row>
    <row r="9" spans="1:11" ht="74.75" customHeight="1" x14ac:dyDescent="0.2">
      <c r="A9" s="38" t="s">
        <v>371</v>
      </c>
      <c r="B9" s="39" t="s">
        <v>372</v>
      </c>
      <c r="C9" s="39" t="s">
        <v>373</v>
      </c>
      <c r="D9" s="39" t="s">
        <v>374</v>
      </c>
      <c r="E9" s="39" t="s">
        <v>375</v>
      </c>
      <c r="F9" s="39" t="s">
        <v>376</v>
      </c>
      <c r="G9" s="39" t="s">
        <v>377</v>
      </c>
      <c r="H9" s="39" t="s">
        <v>378</v>
      </c>
      <c r="I9" s="39" t="s">
        <v>379</v>
      </c>
      <c r="J9" s="39" t="s">
        <v>380</v>
      </c>
      <c r="K9" s="40" t="s">
        <v>381</v>
      </c>
    </row>
    <row r="10" spans="1:11" ht="74.75" customHeight="1" x14ac:dyDescent="0.2">
      <c r="A10" s="38" t="s">
        <v>382</v>
      </c>
      <c r="B10" s="39" t="s">
        <v>383</v>
      </c>
      <c r="C10" s="39" t="s">
        <v>384</v>
      </c>
      <c r="D10" s="39" t="s">
        <v>385</v>
      </c>
      <c r="E10" s="39" t="s">
        <v>386</v>
      </c>
      <c r="F10" s="39" t="s">
        <v>385</v>
      </c>
      <c r="G10" s="39" t="s">
        <v>387</v>
      </c>
      <c r="H10" s="39" t="s">
        <v>388</v>
      </c>
      <c r="I10" s="39" t="s">
        <v>389</v>
      </c>
      <c r="J10" s="39" t="s">
        <v>390</v>
      </c>
      <c r="K10" s="40" t="s">
        <v>391</v>
      </c>
    </row>
    <row r="11" spans="1:11" ht="74.75" customHeight="1" x14ac:dyDescent="0.2">
      <c r="A11" s="38" t="s">
        <v>392</v>
      </c>
      <c r="B11" s="39" t="s">
        <v>393</v>
      </c>
      <c r="C11" s="39" t="s">
        <v>394</v>
      </c>
      <c r="D11" s="39" t="s">
        <v>395</v>
      </c>
      <c r="E11" s="39" t="s">
        <v>396</v>
      </c>
      <c r="F11" s="39" t="s">
        <v>397</v>
      </c>
      <c r="G11" s="39" t="s">
        <v>398</v>
      </c>
      <c r="H11" s="39" t="s">
        <v>399</v>
      </c>
      <c r="I11" s="39" t="s">
        <v>400</v>
      </c>
      <c r="J11" s="39" t="s">
        <v>401</v>
      </c>
      <c r="K11" s="40" t="s">
        <v>402</v>
      </c>
    </row>
    <row r="12" spans="1:11" ht="74.75" customHeight="1" x14ac:dyDescent="0.2">
      <c r="A12" s="38" t="s">
        <v>403</v>
      </c>
      <c r="B12" s="39" t="s">
        <v>404</v>
      </c>
      <c r="C12" s="39" t="s">
        <v>405</v>
      </c>
      <c r="D12" s="39" t="s">
        <v>406</v>
      </c>
      <c r="E12" s="39" t="s">
        <v>407</v>
      </c>
      <c r="F12" s="39" t="s">
        <v>408</v>
      </c>
      <c r="G12" s="39" t="s">
        <v>409</v>
      </c>
      <c r="H12" s="39" t="s">
        <v>410</v>
      </c>
      <c r="I12" s="39" t="s">
        <v>411</v>
      </c>
      <c r="J12" s="39" t="s">
        <v>412</v>
      </c>
      <c r="K12" s="40" t="s">
        <v>413</v>
      </c>
    </row>
    <row r="13" spans="1:11" ht="74.75" customHeight="1" x14ac:dyDescent="0.2">
      <c r="A13" s="38" t="s">
        <v>414</v>
      </c>
      <c r="B13" s="39" t="s">
        <v>415</v>
      </c>
      <c r="C13" s="39" t="s">
        <v>416</v>
      </c>
      <c r="D13" s="39" t="s">
        <v>417</v>
      </c>
      <c r="E13" s="39" t="s">
        <v>418</v>
      </c>
      <c r="F13" s="39" t="s">
        <v>419</v>
      </c>
      <c r="G13" s="39" t="s">
        <v>420</v>
      </c>
      <c r="H13" s="39" t="s">
        <v>421</v>
      </c>
      <c r="I13" s="39" t="s">
        <v>422</v>
      </c>
      <c r="J13" s="39" t="s">
        <v>423</v>
      </c>
      <c r="K13" s="40" t="s">
        <v>424</v>
      </c>
    </row>
    <row r="14" spans="1:11" ht="74.75" customHeight="1" x14ac:dyDescent="0.2">
      <c r="A14" s="41" t="s">
        <v>425</v>
      </c>
      <c r="B14" s="42" t="s">
        <v>426</v>
      </c>
      <c r="C14" s="42" t="s">
        <v>427</v>
      </c>
      <c r="D14" s="42" t="s">
        <v>428</v>
      </c>
      <c r="E14" s="42" t="s">
        <v>429</v>
      </c>
      <c r="F14" s="42" t="s">
        <v>430</v>
      </c>
      <c r="G14" s="42" t="s">
        <v>431</v>
      </c>
      <c r="H14" s="42" t="s">
        <v>432</v>
      </c>
      <c r="I14" s="42" t="s">
        <v>433</v>
      </c>
      <c r="J14" s="42" t="s">
        <v>434</v>
      </c>
      <c r="K14" s="43" t="s">
        <v>435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8"/>
  <sheetViews>
    <sheetView tabSelected="1" workbookViewId="0">
      <selection activeCell="A4" sqref="A4:XFD4"/>
    </sheetView>
  </sheetViews>
  <sheetFormatPr baseColWidth="10" defaultColWidth="8.83203125" defaultRowHeight="16" x14ac:dyDescent="0.2"/>
  <cols>
    <col min="1" max="1" width="8" customWidth="1"/>
    <col min="2" max="2" width="23.6640625" bestFit="1" customWidth="1"/>
    <col min="3" max="3" width="31.33203125" bestFit="1" customWidth="1"/>
    <col min="4" max="4" width="39.5" bestFit="1" customWidth="1"/>
    <col min="5" max="5" width="14.33203125" bestFit="1" customWidth="1"/>
    <col min="6" max="6" width="31" bestFit="1" customWidth="1"/>
    <col min="7" max="7" width="23.6640625" bestFit="1" customWidth="1"/>
    <col min="8" max="8" width="24" customWidth="1"/>
    <col min="9" max="9" width="12" customWidth="1"/>
    <col min="10" max="10" width="22.6640625" bestFit="1" customWidth="1"/>
    <col min="11" max="11" width="24.83203125" bestFit="1" customWidth="1"/>
    <col min="12" max="12" width="20" customWidth="1"/>
    <col min="13" max="13" width="22" customWidth="1"/>
    <col min="14" max="14" width="18" customWidth="1"/>
  </cols>
  <sheetData>
    <row r="1" spans="1:14" ht="22" x14ac:dyDescent="0.2">
      <c r="A1" s="26" t="s">
        <v>436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4" ht="16" customHeight="1" x14ac:dyDescent="0.2">
      <c r="A2" s="170" t="s">
        <v>437</v>
      </c>
      <c r="B2" s="170"/>
      <c r="C2" s="170"/>
      <c r="D2" s="170"/>
      <c r="E2" s="170"/>
      <c r="F2" s="170"/>
      <c r="G2" s="170"/>
      <c r="H2" s="170"/>
      <c r="I2" s="170"/>
      <c r="J2" s="170"/>
      <c r="K2" s="30"/>
      <c r="L2" s="30"/>
      <c r="M2" s="30"/>
      <c r="N2" s="31"/>
    </row>
    <row r="3" spans="1:14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4" s="146" customFormat="1" ht="22" x14ac:dyDescent="0.3">
      <c r="A4" s="179" t="s">
        <v>438</v>
      </c>
      <c r="B4" s="180" t="s">
        <v>439</v>
      </c>
      <c r="C4" s="180" t="s">
        <v>440</v>
      </c>
      <c r="D4" s="180" t="s">
        <v>441</v>
      </c>
      <c r="E4" s="180" t="s">
        <v>442</v>
      </c>
      <c r="F4" s="180" t="s">
        <v>443</v>
      </c>
      <c r="G4" s="180" t="s">
        <v>444</v>
      </c>
      <c r="H4" s="180" t="s">
        <v>445</v>
      </c>
      <c r="I4" s="180" t="s">
        <v>446</v>
      </c>
      <c r="J4" s="180" t="s">
        <v>447</v>
      </c>
      <c r="K4" s="180" t="s">
        <v>448</v>
      </c>
      <c r="L4" s="180" t="s">
        <v>104</v>
      </c>
      <c r="M4" s="180" t="s">
        <v>449</v>
      </c>
      <c r="N4" s="181" t="s">
        <v>450</v>
      </c>
    </row>
    <row r="5" spans="1:14" ht="77.25" customHeight="1" x14ac:dyDescent="0.2">
      <c r="A5" s="171">
        <v>0</v>
      </c>
      <c r="B5" s="172" t="s">
        <v>451</v>
      </c>
      <c r="C5" s="172" t="s">
        <v>452</v>
      </c>
      <c r="D5" s="172"/>
      <c r="E5" s="172" t="s">
        <v>453</v>
      </c>
      <c r="F5" s="172" t="s">
        <v>454</v>
      </c>
      <c r="G5" s="172" t="s">
        <v>455</v>
      </c>
      <c r="H5" s="172" t="s">
        <v>456</v>
      </c>
      <c r="I5" s="172">
        <v>0</v>
      </c>
      <c r="J5" s="172" t="s">
        <v>457</v>
      </c>
      <c r="K5" s="172"/>
      <c r="L5" s="172" t="s">
        <v>106</v>
      </c>
      <c r="M5" s="172"/>
      <c r="N5" s="173" t="s">
        <v>458</v>
      </c>
    </row>
    <row r="6" spans="1:14" ht="77.25" customHeight="1" x14ac:dyDescent="0.2">
      <c r="A6" s="171">
        <v>1</v>
      </c>
      <c r="B6" s="172" t="s">
        <v>459</v>
      </c>
      <c r="C6" s="172" t="s">
        <v>460</v>
      </c>
      <c r="D6" s="172"/>
      <c r="E6" s="172" t="s">
        <v>106</v>
      </c>
      <c r="F6" s="172" t="s">
        <v>461</v>
      </c>
      <c r="G6" s="172" t="s">
        <v>462</v>
      </c>
      <c r="H6" s="172" t="s">
        <v>463</v>
      </c>
      <c r="I6" s="172"/>
      <c r="J6" s="172" t="s">
        <v>464</v>
      </c>
      <c r="K6" s="172"/>
      <c r="L6" s="172" t="s">
        <v>465</v>
      </c>
      <c r="M6" s="172"/>
      <c r="N6" s="173" t="s">
        <v>458</v>
      </c>
    </row>
    <row r="7" spans="1:14" ht="77.25" customHeight="1" x14ac:dyDescent="0.2">
      <c r="A7" s="171">
        <v>2</v>
      </c>
      <c r="B7" s="172" t="s">
        <v>466</v>
      </c>
      <c r="C7" s="172" t="s">
        <v>467</v>
      </c>
      <c r="D7" s="172"/>
      <c r="E7" s="172" t="s">
        <v>468</v>
      </c>
      <c r="F7" s="172" t="s">
        <v>469</v>
      </c>
      <c r="G7" s="172" t="s">
        <v>470</v>
      </c>
      <c r="H7" s="172" t="s">
        <v>471</v>
      </c>
      <c r="I7" s="172"/>
      <c r="J7" s="172" t="s">
        <v>472</v>
      </c>
      <c r="K7" s="172"/>
      <c r="L7" s="172" t="s">
        <v>107</v>
      </c>
      <c r="M7" s="172"/>
      <c r="N7" s="173" t="s">
        <v>458</v>
      </c>
    </row>
    <row r="8" spans="1:14" ht="77.25" customHeight="1" x14ac:dyDescent="0.2">
      <c r="A8" s="171">
        <v>3</v>
      </c>
      <c r="B8" s="172" t="s">
        <v>473</v>
      </c>
      <c r="C8" s="172" t="s">
        <v>474</v>
      </c>
      <c r="D8" s="172"/>
      <c r="E8" s="172" t="s">
        <v>107</v>
      </c>
      <c r="F8" s="172" t="s">
        <v>475</v>
      </c>
      <c r="G8" s="172" t="s">
        <v>476</v>
      </c>
      <c r="H8" s="172" t="s">
        <v>477</v>
      </c>
      <c r="I8" s="172"/>
      <c r="J8" s="172" t="s">
        <v>478</v>
      </c>
      <c r="K8" s="172"/>
      <c r="L8" s="172" t="s">
        <v>235</v>
      </c>
      <c r="M8" s="172"/>
      <c r="N8" s="173" t="s">
        <v>277</v>
      </c>
    </row>
    <row r="9" spans="1:14" ht="77.25" customHeight="1" x14ac:dyDescent="0.2">
      <c r="A9" s="171">
        <v>4</v>
      </c>
      <c r="B9" s="172" t="s">
        <v>235</v>
      </c>
      <c r="C9" s="172" t="s">
        <v>479</v>
      </c>
      <c r="D9" s="172"/>
      <c r="E9" s="172" t="s">
        <v>41</v>
      </c>
      <c r="F9" s="172" t="s">
        <v>480</v>
      </c>
      <c r="G9" s="172" t="s">
        <v>481</v>
      </c>
      <c r="H9" s="172" t="s">
        <v>482</v>
      </c>
      <c r="I9" s="172"/>
      <c r="J9" s="172" t="s">
        <v>483</v>
      </c>
      <c r="K9" s="172"/>
      <c r="L9" s="172" t="s">
        <v>484</v>
      </c>
      <c r="M9" s="172"/>
      <c r="N9" s="173" t="s">
        <v>485</v>
      </c>
    </row>
    <row r="10" spans="1:14" ht="77.25" customHeight="1" x14ac:dyDescent="0.2">
      <c r="A10" s="171">
        <v>5</v>
      </c>
      <c r="B10" s="172" t="s">
        <v>484</v>
      </c>
      <c r="C10" s="172" t="s">
        <v>486</v>
      </c>
      <c r="D10" s="172"/>
      <c r="E10" s="172" t="s">
        <v>236</v>
      </c>
      <c r="F10" s="172" t="s">
        <v>487</v>
      </c>
      <c r="G10" s="172" t="s">
        <v>488</v>
      </c>
      <c r="H10" s="172" t="s">
        <v>489</v>
      </c>
      <c r="I10" s="172"/>
      <c r="J10" s="172" t="s">
        <v>490</v>
      </c>
      <c r="K10" s="172"/>
      <c r="L10" s="172" t="s">
        <v>238</v>
      </c>
      <c r="M10" s="172"/>
      <c r="N10" s="173" t="s">
        <v>276</v>
      </c>
    </row>
    <row r="11" spans="1:14" x14ac:dyDescent="0.2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</row>
    <row r="12" spans="1:14" x14ac:dyDescent="0.2">
      <c r="A12" s="44" t="s">
        <v>491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/>
    </row>
    <row r="13" spans="1:14" ht="29" customHeight="1" x14ac:dyDescent="0.2">
      <c r="A13" s="38" t="s">
        <v>146</v>
      </c>
      <c r="B13" s="39" t="s">
        <v>241</v>
      </c>
      <c r="C13" s="176" t="s">
        <v>492</v>
      </c>
      <c r="D13" s="174"/>
      <c r="E13" s="174"/>
      <c r="F13" s="174"/>
      <c r="G13" s="33"/>
      <c r="H13" s="33"/>
      <c r="I13" s="33"/>
      <c r="J13" s="33"/>
      <c r="K13" s="33"/>
      <c r="L13" s="33"/>
      <c r="M13" s="33"/>
      <c r="N13" s="34"/>
    </row>
    <row r="14" spans="1:14" ht="29" customHeight="1" x14ac:dyDescent="0.2">
      <c r="A14" s="38" t="s">
        <v>493</v>
      </c>
      <c r="B14" s="39" t="s">
        <v>243</v>
      </c>
      <c r="C14" s="176" t="s">
        <v>494</v>
      </c>
      <c r="D14" s="174"/>
      <c r="E14" s="174"/>
      <c r="F14" s="174"/>
      <c r="G14" s="33"/>
      <c r="H14" s="33"/>
      <c r="I14" s="33"/>
      <c r="J14" s="33"/>
      <c r="K14" s="33"/>
      <c r="L14" s="33"/>
      <c r="M14" s="33"/>
      <c r="N14" s="34"/>
    </row>
    <row r="15" spans="1:14" ht="29" customHeight="1" x14ac:dyDescent="0.2">
      <c r="A15" s="38" t="s">
        <v>495</v>
      </c>
      <c r="B15" s="39" t="s">
        <v>496</v>
      </c>
      <c r="C15" s="176" t="s">
        <v>497</v>
      </c>
      <c r="D15" s="174"/>
      <c r="E15" s="174"/>
      <c r="F15" s="174"/>
      <c r="G15" s="33"/>
      <c r="H15" s="33"/>
      <c r="I15" s="33"/>
      <c r="J15" s="33"/>
      <c r="K15" s="33"/>
      <c r="L15" s="33"/>
      <c r="M15" s="33"/>
      <c r="N15" s="34"/>
    </row>
    <row r="16" spans="1:14" ht="29" customHeight="1" x14ac:dyDescent="0.2">
      <c r="A16" s="38" t="s">
        <v>498</v>
      </c>
      <c r="B16" s="39" t="s">
        <v>499</v>
      </c>
      <c r="C16" s="176" t="s">
        <v>500</v>
      </c>
      <c r="D16" s="174"/>
      <c r="E16" s="174"/>
      <c r="F16" s="174"/>
      <c r="G16" s="33"/>
      <c r="H16" s="33"/>
      <c r="I16" s="33"/>
      <c r="J16" s="33"/>
      <c r="K16" s="33"/>
      <c r="L16" s="33"/>
      <c r="M16" s="33"/>
      <c r="N16" s="34"/>
    </row>
    <row r="17" spans="1:14" ht="29" customHeight="1" x14ac:dyDescent="0.2">
      <c r="A17" s="41" t="s">
        <v>147</v>
      </c>
      <c r="B17" s="42" t="s">
        <v>501</v>
      </c>
      <c r="C17" s="177" t="s">
        <v>502</v>
      </c>
      <c r="D17" s="175"/>
      <c r="E17" s="175"/>
      <c r="F17" s="175"/>
      <c r="G17" s="47"/>
      <c r="H17" s="47"/>
      <c r="I17" s="47"/>
      <c r="J17" s="47"/>
      <c r="K17" s="47"/>
      <c r="L17" s="47"/>
      <c r="M17" s="47"/>
      <c r="N17" s="48"/>
    </row>
    <row r="18" spans="1:14" x14ac:dyDescent="0.2">
      <c r="C18" s="178"/>
    </row>
  </sheetData>
  <mergeCells count="6">
    <mergeCell ref="C13:F13"/>
    <mergeCell ref="C14:F14"/>
    <mergeCell ref="C15:F15"/>
    <mergeCell ref="C16:F16"/>
    <mergeCell ref="C17:F17"/>
    <mergeCell ref="A2:J2"/>
  </mergeCells>
  <dataValidations count="2">
    <dataValidation type="list" sqref="E5:E12 E18:E30" xr:uid="{00000000-0002-0000-0D00-000000000000}">
      <formula1>"Contenido / diagnóstico,PAN,PAN puente,TORTA,Recurrencia,Expansión,Producto faltante"</formula1>
    </dataValidation>
    <dataValidation type="list" sqref="N5:N30" xr:uid="{00000000-0002-0000-0D00-000001000000}">
      <formula1>"Crear / mejorar,Optimizar,Mantener / escalar,Eliminar,Validar"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8</vt:i4>
      </vt:variant>
    </vt:vector>
  </HeadingPairs>
  <TitlesOfParts>
    <vt:vector size="22" baseType="lpstr">
      <vt:lpstr>Indice de fragilidad</vt:lpstr>
      <vt:lpstr>Inventario del Portafolio</vt:lpstr>
      <vt:lpstr>Índice PAN</vt:lpstr>
      <vt:lpstr>Índice TORTA</vt:lpstr>
      <vt:lpstr>Mapa estratégico</vt:lpstr>
      <vt:lpstr>Economía del producto</vt:lpstr>
      <vt:lpstr>Canvas Producto PAN</vt:lpstr>
      <vt:lpstr>Escalera PAN-TORTA</vt:lpstr>
      <vt:lpstr>Capacidad del Horno</vt:lpstr>
      <vt:lpstr>Dieta del Portafolio</vt:lpstr>
      <vt:lpstr>Plan 30D</vt:lpstr>
      <vt:lpstr>Dashboard Ejecutivo</vt:lpstr>
      <vt:lpstr>Guía 4H</vt:lpstr>
      <vt:lpstr>Journey Cliente</vt:lpstr>
      <vt:lpstr>'Canvas Producto PAN'!Área_de_impresión</vt:lpstr>
      <vt:lpstr>'Capacidad del Horno'!Área_de_impresión</vt:lpstr>
      <vt:lpstr>'Dieta del Portafolio'!Área_de_impresión</vt:lpstr>
      <vt:lpstr>'Escalera PAN-TORTA'!Área_de_impresión</vt:lpstr>
      <vt:lpstr>'Indice de fragilidad'!Área_de_impresión</vt:lpstr>
      <vt:lpstr>'Índice PAN'!Área_de_impresión</vt:lpstr>
      <vt:lpstr>'Inventario del Portafolio'!Área_de_impresión</vt:lpstr>
      <vt:lpstr>'Mapa estratégico'!Área_de_impresión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ANTONIO CAMINO PRADO</cp:lastModifiedBy>
  <cp:lastPrinted>2026-07-19T15:45:26Z</cp:lastPrinted>
  <dcterms:created xsi:type="dcterms:W3CDTF">2026-07-16T22:57:36Z</dcterms:created>
  <dcterms:modified xsi:type="dcterms:W3CDTF">2026-07-19T15:49:10Z</dcterms:modified>
</cp:coreProperties>
</file>